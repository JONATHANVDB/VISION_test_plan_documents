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magicstech.sharepoint.com/sites/ProductTestDevelopment/Shared Documents/MAG-IMG/Documentation/Internal_testprocedure/"/>
    </mc:Choice>
  </mc:AlternateContent>
  <xr:revisionPtr revIDLastSave="2234" documentId="8_{714D6B63-656A-48FF-9781-8AF92BA006E3}" xr6:coauthVersionLast="47" xr6:coauthVersionMax="47" xr10:uidLastSave="{C6B9F637-24CF-4981-93CD-116CC566FA82}"/>
  <bookViews>
    <workbookView xWindow="-28920" yWindow="-120" windowWidth="29040" windowHeight="15720" xr2:uid="{1C371EDA-60C2-4043-BD6D-50CA5E993144}"/>
  </bookViews>
  <sheets>
    <sheet name="20251203 - list of parameters" sheetId="2" r:id="rId1"/>
    <sheet name="Sheet1" sheetId="1" r:id="rId2"/>
    <sheet name="spatial var classification" sheetId="3" r:id="rId3"/>
  </sheets>
  <definedNames>
    <definedName name="_xlnm._FilterDatabase" localSheetId="0" hidden="1">'20251203 - list of parameters'!$A$4:$B$4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9"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tc={93444279-FEB1-4A2B-A491-EAA6C2EC4AFB}</author>
    <author>tc={F8D31339-15FD-4843-9DFA-8A24DA39CBA8}</author>
    <author>tc={950C91F1-95BF-4195-9A20-3D0260DE3425}</author>
  </authors>
  <commentList>
    <comment ref="K18" authorId="0" shapeId="0" xr:uid="{93444279-FEB1-4A2B-A491-EAA6C2EC4AFB}">
      <text>
        <t>[Threaded comment]
Your version of Excel allows you to read this threaded comment; however, any edits to it will get removed if the file is opened in a newer version of Excel. Learn more: https://go.microsoft.com/fwlink/?linkid=870924
Comment:
    R=QE*K=QE*conv_gain/adc_gain
Reply:
    correct</t>
      </text>
    </comment>
    <comment ref="L21" authorId="1" shapeId="0" xr:uid="{F8D31339-15FD-4843-9DFA-8A24DA39CBA8}">
      <text>
        <t>[Threaded comment]
Your version of Excel allows you to read this threaded comment; however, any edits to it will get removed if the file is opened in a newer version of Excel. Learn more: https://go.microsoft.com/fwlink/?linkid=870924
Comment:
    When scope is available, is this parameter measured in one of the optical test or should we add one of the Ramp gen test to the test sequence of the OT or CHAR_OT test stage? 
Reply:
    Direct ramp slope will be measured in optical_test_processing test, when scope is detected</t>
      </text>
    </comment>
    <comment ref="K22" authorId="2" shapeId="0" xr:uid="{950C91F1-95BF-4195-9A20-3D0260DE3425}">
      <text>
        <t>[Threaded comment]
Your version of Excel allows you to read this threaded comment; however, any edits to it will get removed if the file is opened in a newer version of Excel. Learn more: https://go.microsoft.com/fwlink/?linkid=870924
Comment:
    K=conv_gain/adc_gain
Reply:
    correct</t>
      </text>
    </comment>
  </commentList>
</comments>
</file>

<file path=xl/sharedStrings.xml><?xml version="1.0" encoding="utf-8"?>
<sst xmlns="http://schemas.openxmlformats.org/spreadsheetml/2006/main" count="886" uniqueCount="440">
  <si>
    <t>Information</t>
  </si>
  <si>
    <t xml:space="preserve">Possible test level: Info only (I), By Design(D), Characterization (C), Production (P), Visual inspection (VI), Qualification (Q) </t>
  </si>
  <si>
    <t>Parameter</t>
  </si>
  <si>
    <t>Unit</t>
  </si>
  <si>
    <t>Datasheet or Testplan [D/T]</t>
  </si>
  <si>
    <t>Test level</t>
  </si>
  <si>
    <t>Condition</t>
  </si>
  <si>
    <t>LSL</t>
  </si>
  <si>
    <t>Typ</t>
  </si>
  <si>
    <t>USL</t>
  </si>
  <si>
    <t>Bin split</t>
  </si>
  <si>
    <t>Comments</t>
  </si>
  <si>
    <t>Comments Idham</t>
  </si>
  <si>
    <t>Meeting conclusions</t>
  </si>
  <si>
    <t>Effective number of pixel</t>
  </si>
  <si>
    <t>#</t>
  </si>
  <si>
    <t>D</t>
  </si>
  <si>
    <t>1920 (H) x 1080 (V)</t>
  </si>
  <si>
    <t>Pixel size</t>
  </si>
  <si>
    <t>um</t>
  </si>
  <si>
    <t>5 x 5</t>
  </si>
  <si>
    <t>Number of black rows</t>
  </si>
  <si>
    <t>Shutter type</t>
  </si>
  <si>
    <t>-</t>
  </si>
  <si>
    <t>Rolling shutter</t>
  </si>
  <si>
    <t>Full well charge</t>
  </si>
  <si>
    <t>e-</t>
  </si>
  <si>
    <t>design target, refer to usat</t>
  </si>
  <si>
    <t>would prefer to mention it as saturation limit (similar to u_e_sat) with comment: ADC limited, with typical ADC gain</t>
  </si>
  <si>
    <t>fine to change to usat</t>
  </si>
  <si>
    <t>Conversion gain</t>
  </si>
  <si>
    <r>
      <t>mV/eV</t>
    </r>
    <r>
      <rPr>
        <sz val="11"/>
        <color rgb="FFFF0000"/>
        <rFont val="Aptos Narrow"/>
        <family val="2"/>
        <scheme val="minor"/>
      </rPr>
      <t>--&gt;  mV/e-?</t>
    </r>
  </si>
  <si>
    <t xml:space="preserve">C </t>
  </si>
  <si>
    <t>mV/e-</t>
  </si>
  <si>
    <t>Responsivity</t>
  </si>
  <si>
    <r>
      <t>DN/e-</t>
    </r>
    <r>
      <rPr>
        <sz val="11"/>
        <color rgb="FFFF0000"/>
        <rFont val="Aptos Narrow"/>
        <family val="2"/>
        <scheme val="minor"/>
      </rPr>
      <t xml:space="preserve"> --&gt; DN/p</t>
    </r>
  </si>
  <si>
    <t>C</t>
  </si>
  <si>
    <t>DN/p. responsivity on R, G, B wavelength should be reported, split between mono and color?</t>
  </si>
  <si>
    <t>revisit this parameter later</t>
  </si>
  <si>
    <t>Temporal noise</t>
  </si>
  <si>
    <t>at AT</t>
  </si>
  <si>
    <t>read noise</t>
  </si>
  <si>
    <t>change to read noise</t>
  </si>
  <si>
    <t>Dynamic range</t>
  </si>
  <si>
    <t>dB</t>
  </si>
  <si>
    <t>SNRMAX</t>
  </si>
  <si>
    <t>Dark current (DC)</t>
  </si>
  <si>
    <r>
      <t xml:space="preserve">fA     </t>
    </r>
    <r>
      <rPr>
        <sz val="11"/>
        <color rgb="FFFF0000"/>
        <rFont val="Aptos Narrow"/>
        <family val="2"/>
        <scheme val="minor"/>
      </rPr>
      <t>--&gt;   e-/s?</t>
    </r>
  </si>
  <si>
    <t>C, P</t>
  </si>
  <si>
    <t>ROI of 400 x 400 pix for P, global for C</t>
  </si>
  <si>
    <t xml:space="preserve">Temperature must be controlled </t>
  </si>
  <si>
    <t>e-/s/pixel, but take average over ROI</t>
  </si>
  <si>
    <t>e-/s/pixel</t>
  </si>
  <si>
    <t>Dark current non uniformity (DCNU)</t>
  </si>
  <si>
    <t>e-/s</t>
  </si>
  <si>
    <t>T</t>
  </si>
  <si>
    <t>e-/s/pixel. tbd if the sigma of dark current can be reported as DCNU, the current Gaussian fitting is not accurate</t>
  </si>
  <si>
    <t>Dark signal non uniformity (DSNU)</t>
  </si>
  <si>
    <t>Texp=? , FPN compensated</t>
  </si>
  <si>
    <t>for color sample, report per channel or combine all channels by averaging the reported values?</t>
  </si>
  <si>
    <t>Photo response non uniformity (PRNU)</t>
  </si>
  <si>
    <t>% RMS</t>
  </si>
  <si>
    <t>&lt; tba</t>
  </si>
  <si>
    <t>for color sample, report per channel or combine all channels? report also that this PRNU value includes max global irradiance deviation ...%</t>
  </si>
  <si>
    <t>avg is fine</t>
  </si>
  <si>
    <t>Color filters</t>
  </si>
  <si>
    <t>VI</t>
  </si>
  <si>
    <t>BayerRG (Bayer RGGB)</t>
  </si>
  <si>
    <t>Programmable features</t>
  </si>
  <si>
    <t>Exposure time, sub-sampling, X-Y mirroring, ADC resolution</t>
  </si>
  <si>
    <t>ADC resolution</t>
  </si>
  <si>
    <t>b</t>
  </si>
  <si>
    <t>10 and 12 bit</t>
  </si>
  <si>
    <t>Interface</t>
  </si>
  <si>
    <t>C?</t>
  </si>
  <si>
    <t>10/12b parallel output</t>
  </si>
  <si>
    <t>by default, are the final images always MSB-aligned to 12bit format, regardless of the chosen ADC resolution? Where is the alignment done? In the optical analysis, we always assume 12bit format</t>
  </si>
  <si>
    <t>Check with Boris, check if 12b is used in FHD (is in datasheet)</t>
  </si>
  <si>
    <t>Cover glass lid</t>
  </si>
  <si>
    <t>I</t>
  </si>
  <si>
    <t>Corning 7980 0F</t>
  </si>
  <si>
    <t>K</t>
  </si>
  <si>
    <t xml:space="preserve">DN/e-  </t>
  </si>
  <si>
    <t>maybe report this along with the ADC gain value in [mV/DN]</t>
  </si>
  <si>
    <t>mu,e_min</t>
  </si>
  <si>
    <t>can be removed, not sure if this adds more information besides the read noise?</t>
  </si>
  <si>
    <t>mu,e_sat</t>
  </si>
  <si>
    <t>see full well limit</t>
  </si>
  <si>
    <t>QE</t>
  </si>
  <si>
    <t>%</t>
  </si>
  <si>
    <t>at green wavelength</t>
  </si>
  <si>
    <t>not needed if responsivity is already reported in different wavelength</t>
  </si>
  <si>
    <t>Measure on mono?</t>
  </si>
  <si>
    <t>at red wavelength</t>
  </si>
  <si>
    <t>later, we might report instead the QE vs wavelength plot in datasheet</t>
  </si>
  <si>
    <t>at blue wavelength</t>
  </si>
  <si>
    <t>Dark signal temperature dependency (temperature rise for doubling average dark current)</t>
  </si>
  <si>
    <r>
      <rPr>
        <sz val="11"/>
        <color theme="1"/>
        <rFont val="Aptos Narrow"/>
        <family val="2"/>
      </rPr>
      <t>°</t>
    </r>
    <r>
      <rPr>
        <sz val="11"/>
        <color theme="1"/>
        <rFont val="Aptos Narrow"/>
        <family val="2"/>
        <scheme val="minor"/>
      </rPr>
      <t>C</t>
    </r>
  </si>
  <si>
    <t>fitted parameter from 3 temperatures points: CT, RT, HT</t>
  </si>
  <si>
    <r>
      <t xml:space="preserve">Defect map based on:
 * dark short image
 * dark long image </t>
    </r>
    <r>
      <rPr>
        <sz val="11"/>
        <color rgb="FFFF0000"/>
        <rFont val="Aptos Narrow"/>
        <family val="2"/>
        <scheme val="minor"/>
      </rPr>
      <t>--&gt; needed for DC related parameters</t>
    </r>
    <r>
      <rPr>
        <sz val="11"/>
        <color theme="0"/>
        <rFont val="Aptos Narrow"/>
        <family val="2"/>
        <scheme val="minor"/>
      </rPr>
      <t xml:space="preserve">
 * gray (50%) image</t>
    </r>
    <r>
      <rPr>
        <sz val="11"/>
        <color rgb="FFFF0000"/>
        <rFont val="Aptos Narrow"/>
        <family val="2"/>
        <scheme val="minor"/>
      </rPr>
      <t xml:space="preserve"> --&gt; only needed for next section</t>
    </r>
    <r>
      <rPr>
        <sz val="11"/>
        <color theme="0"/>
        <rFont val="Aptos Narrow"/>
        <family val="2"/>
        <scheme val="minor"/>
      </rPr>
      <t xml:space="preserve">
 * saturated image</t>
    </r>
  </si>
  <si>
    <t xml:space="preserve">Log number of defects </t>
  </si>
  <si>
    <t>Do we need to test multiple modes or focuss on 1 mode and maybe the other modes on saturated image?</t>
  </si>
  <si>
    <t xml:space="preserve">maybe FHD10 with black rows are enough? defect map should also include the black rows? </t>
  </si>
  <si>
    <t>One mode is ok, should be the fastest mode with FHD so we have no timing issues</t>
  </si>
  <si>
    <t>Dead pixels</t>
  </si>
  <si>
    <t>P</t>
  </si>
  <si>
    <t>Global</t>
  </si>
  <si>
    <t>EM</t>
  </si>
  <si>
    <t>From saturated image, ADC value == 0</t>
  </si>
  <si>
    <t>definition = pixels that does not respond to light (stuck at certain value) or respond to negative gain</t>
  </si>
  <si>
    <t>PROD</t>
  </si>
  <si>
    <r>
      <t xml:space="preserve">generated from </t>
    </r>
    <r>
      <rPr>
        <b/>
        <sz val="11"/>
        <color theme="1"/>
        <rFont val="Aptos Narrow"/>
        <family val="2"/>
        <scheme val="minor"/>
      </rPr>
      <t>sat frame - dark short frame</t>
    </r>
    <r>
      <rPr>
        <sz val="11"/>
        <color theme="1"/>
        <rFont val="Aptos Narrow"/>
        <family val="2"/>
        <scheme val="minor"/>
      </rPr>
      <t>. threshold is &lt;5% of mean</t>
    </r>
  </si>
  <si>
    <t>Stuck-at columns</t>
  </si>
  <si>
    <t>Variance in column == 0</t>
  </si>
  <si>
    <r>
      <t xml:space="preserve">From </t>
    </r>
    <r>
      <rPr>
        <b/>
        <sz val="11"/>
        <color rgb="FFFF0000"/>
        <rFont val="Aptos Narrow"/>
        <family val="2"/>
        <scheme val="minor"/>
      </rPr>
      <t>gray image</t>
    </r>
    <r>
      <rPr>
        <sz val="11"/>
        <color theme="1"/>
        <rFont val="Aptos Narrow"/>
        <family val="2"/>
        <scheme val="minor"/>
      </rPr>
      <t>, not corrected</t>
    </r>
  </si>
  <si>
    <t>see dead pixels definition --&gt; for stuck-at-zero, stuck-at-one</t>
  </si>
  <si>
    <t>Stuck-at rows</t>
  </si>
  <si>
    <t>Variance in row == 0</t>
  </si>
  <si>
    <t>Bright pixels</t>
  </si>
  <si>
    <t>ROI (32*32 pixels) &gt; x+20%</t>
  </si>
  <si>
    <t>From dark short image</t>
  </si>
  <si>
    <r>
      <t xml:space="preserve">global? generated from </t>
    </r>
    <r>
      <rPr>
        <b/>
        <sz val="11"/>
        <color theme="1"/>
        <rFont val="Aptos Narrow"/>
        <family val="2"/>
        <scheme val="minor"/>
      </rPr>
      <t>dark short frame</t>
    </r>
    <r>
      <rPr>
        <sz val="11"/>
        <color theme="1"/>
        <rFont val="Aptos Narrow"/>
        <family val="2"/>
        <scheme val="minor"/>
      </rPr>
      <t>. threshold is 20% of full range</t>
    </r>
  </si>
  <si>
    <t>Defect columns</t>
  </si>
  <si>
    <t>ROI (mov avg 32 columns) &gt; x+/-5%</t>
  </si>
  <si>
    <r>
      <t xml:space="preserve">Sum of Dead, bright and </t>
    </r>
    <r>
      <rPr>
        <b/>
        <sz val="11"/>
        <color rgb="FFFF0000"/>
        <rFont val="Aptos Narrow"/>
        <family val="2"/>
        <scheme val="minor"/>
      </rPr>
      <t xml:space="preserve">defect </t>
    </r>
    <r>
      <rPr>
        <sz val="11"/>
        <color theme="1"/>
        <rFont val="Aptos Narrow"/>
        <family val="2"/>
        <scheme val="minor"/>
      </rPr>
      <t>pixels in the column</t>
    </r>
  </si>
  <si>
    <t>dead or bright only?</t>
  </si>
  <si>
    <t>Max per column &gt; 100</t>
  </si>
  <si>
    <t>check if there is any row/col that contains more than 100 (bright pixels + dead pixels)</t>
  </si>
  <si>
    <t>Defect rows</t>
  </si>
  <si>
    <t>ROI (mov avg 32 rows) &gt; x+/-5%</t>
  </si>
  <si>
    <r>
      <t xml:space="preserve">Sum of Dead, bright and </t>
    </r>
    <r>
      <rPr>
        <b/>
        <sz val="11"/>
        <color rgb="FFFF0000"/>
        <rFont val="Aptos Narrow"/>
        <family val="2"/>
        <scheme val="minor"/>
      </rPr>
      <t>defect</t>
    </r>
    <r>
      <rPr>
        <sz val="11"/>
        <color theme="1"/>
        <rFont val="Aptos Narrow"/>
        <family val="2"/>
        <scheme val="minor"/>
      </rPr>
      <t xml:space="preserve"> pixels in the row</t>
    </r>
  </si>
  <si>
    <t>Max per row &gt; 100</t>
  </si>
  <si>
    <t>Distance between bad columns</t>
  </si>
  <si>
    <t>Bad column = defect column or stuck-at</t>
  </si>
  <si>
    <t>Distance between bad rows</t>
  </si>
  <si>
    <t>Bad row = defect row or stuck-at</t>
  </si>
  <si>
    <t>Pixel clusters</t>
  </si>
  <si>
    <r>
      <t>Bad (dead, bright,</t>
    </r>
    <r>
      <rPr>
        <b/>
        <sz val="11"/>
        <color rgb="FFFF0000"/>
        <rFont val="Aptos Narrow"/>
        <family val="2"/>
        <scheme val="minor"/>
      </rPr>
      <t xml:space="preserve"> defect</t>
    </r>
    <r>
      <rPr>
        <sz val="11"/>
        <color theme="1"/>
        <rFont val="Aptos Narrow"/>
        <family val="2"/>
        <scheme val="minor"/>
      </rPr>
      <t>) pixel neigbour 2 dead pixels of same channel</t>
    </r>
  </si>
  <si>
    <t>?</t>
  </si>
  <si>
    <t>Do we need to split between cluster sizes as well?</t>
  </si>
  <si>
    <t>cluster size of 2 pixel, because due to crosstalk we expect that defect pixels appear in groups of 2 AND cluster size &gt; 2 pixels</t>
  </si>
  <si>
    <t>PRNU image</t>
  </si>
  <si>
    <t>this is normally part of spatial nonuniformity analysis. black row corrected or not?</t>
  </si>
  <si>
    <t xml:space="preserve">Defect pixels </t>
  </si>
  <si>
    <t>ROI (32*32 pixels) &gt; x+/-5%</t>
  </si>
  <si>
    <r>
      <t xml:space="preserve">from gray image, </t>
    </r>
    <r>
      <rPr>
        <b/>
        <sz val="11"/>
        <color theme="1"/>
        <rFont val="Aptos Narrow"/>
        <family val="2"/>
        <scheme val="minor"/>
      </rPr>
      <t>corrected with FPN image</t>
    </r>
  </si>
  <si>
    <t>defect PRNU pixel (i.e. bad pixels in PRNU image) = pixel whose gain/light response is still positive (unlike dead pixels), but the gain deviates a lot from its mean</t>
  </si>
  <si>
    <r>
      <t xml:space="preserve">generated from </t>
    </r>
    <r>
      <rPr>
        <b/>
        <sz val="11"/>
        <color theme="1"/>
        <rFont val="Aptos Narrow"/>
        <family val="2"/>
        <scheme val="minor"/>
      </rPr>
      <t>50% frame - dark frame of the same texp</t>
    </r>
    <r>
      <rPr>
        <sz val="11"/>
        <color theme="1"/>
        <rFont val="Aptos Narrow"/>
        <family val="2"/>
        <scheme val="minor"/>
      </rPr>
      <t xml:space="preserve"> (this is then offset FPN corrected)</t>
    </r>
  </si>
  <si>
    <t>Global &gt; x+/-10%</t>
  </si>
  <si>
    <t>threshold is +-10% of global average</t>
  </si>
  <si>
    <t>also add bad pixels in DSNU image?</t>
  </si>
  <si>
    <t>C-FPN</t>
  </si>
  <si>
    <t>ROI (mov avg 32 columns) &gt; x+/-1%, exclude dead pixels</t>
  </si>
  <si>
    <t>Average signal per column from gray image, not corrected</t>
  </si>
  <si>
    <t>given +-1% range, it might require averaging between more frames to remove temporal contribution</t>
  </si>
  <si>
    <t>Global &gt; x+/-5%</t>
  </si>
  <si>
    <t>R-FPN</t>
  </si>
  <si>
    <t>ROI (mov avg 32 rows) &gt; x+/-1%</t>
  </si>
  <si>
    <t>Average signal per row from gray image, not corrected</t>
  </si>
  <si>
    <t>why are these defined again here?</t>
  </si>
  <si>
    <t>Dark current</t>
  </si>
  <si>
    <t>See dark current spec for limit</t>
  </si>
  <si>
    <t>DCNU</t>
  </si>
  <si>
    <t>See DCNU spec for limit</t>
  </si>
  <si>
    <t>These are the hot pixels, how to put acceptance crteria for them, e.g. x*2, x*10, …</t>
  </si>
  <si>
    <t>mu,e_sat?</t>
  </si>
  <si>
    <t>See spec</t>
  </si>
  <si>
    <t>DSNU</t>
  </si>
  <si>
    <t>PRNU</t>
  </si>
  <si>
    <t>Drift values from radiation testing</t>
  </si>
  <si>
    <t>Dark current drift</t>
  </si>
  <si>
    <t>Q</t>
  </si>
  <si>
    <t>0 --&gt; 1 Mgy or smaller splits?</t>
  </si>
  <si>
    <t>TDB</t>
  </si>
  <si>
    <t>TBD</t>
  </si>
  <si>
    <t xml:space="preserve">DCNU drift </t>
  </si>
  <si>
    <t>Local</t>
  </si>
  <si>
    <t>in general:</t>
  </si>
  <si>
    <t>to define which test parameters belong to P</t>
  </si>
  <si>
    <t>ROI vs global analysis. to simplify, is it enough to do only global?</t>
  </si>
  <si>
    <t>Name</t>
  </si>
  <si>
    <t>Label</t>
  </si>
  <si>
    <t>Definition</t>
  </si>
  <si>
    <t>Condition (how to get raw data)</t>
  </si>
  <si>
    <t>How to calculate</t>
  </si>
  <si>
    <t>Out of optical test scope</t>
  </si>
  <si>
    <t>D?</t>
  </si>
  <si>
    <t>Default is actually 10 bit. But until today I still use 12bit raw image format, and all values reported in DN refer to 12 bit, not 10 bit</t>
  </si>
  <si>
    <t>R</t>
  </si>
  <si>
    <t>Responsivity (maximum)</t>
  </si>
  <si>
    <t>DN/p</t>
  </si>
  <si>
    <t>using white source, need correct value of light irradiance</t>
  </si>
  <si>
    <t>To be defined how to derive this from our measurement with white source, take max from the data instead of avg?</t>
  </si>
  <si>
    <t>Quantum efficiency</t>
  </si>
  <si>
    <t>Efficiency of converting photon at the certain wavelength to electron. Depends on fill factor and CF transmittance. </t>
  </si>
  <si>
    <t xml:space="preserve">The result from mono is then multiplied by transmittance factor of color filter from the vendor. </t>
  </si>
  <si>
    <t>conv_gain</t>
  </si>
  <si>
    <t>OK to avg color ch</t>
  </si>
  <si>
    <t>adc_gain</t>
  </si>
  <si>
    <t>Typical ADC gain</t>
  </si>
  <si>
    <t>mV/DN</t>
  </si>
  <si>
    <t>Depends on the ramp slope and counter ADC frequency.</t>
  </si>
  <si>
    <t>Typical system gain</t>
  </si>
  <si>
    <t>T?</t>
  </si>
  <si>
    <t>index_u_ysat</t>
  </si>
  <si>
    <t>Index of PTC saturation</t>
  </si>
  <si>
    <t>The index of the data point in PTC curve that has maximum variance </t>
  </si>
  <si>
    <t>NOK to average color ch</t>
  </si>
  <si>
    <t>u_e_sat</t>
  </si>
  <si>
    <t>Saturation limit</t>
  </si>
  <si>
    <t>Using typical system gain, the saturation is limited by the ADC, instead of the actual photodiode full well. </t>
  </si>
  <si>
    <t>SNR_max_dB</t>
  </si>
  <si>
    <t>SNR (maximum)</t>
  </si>
  <si>
    <t>DR_dB</t>
  </si>
  <si>
    <t>Ratio between saturation limit and sensitivity limit </t>
  </si>
  <si>
    <t>dark_level_DN</t>
  </si>
  <si>
    <t>Average dark offset</t>
  </si>
  <si>
    <t>DN</t>
  </si>
  <si>
    <t>Average value in dark</t>
  </si>
  <si>
    <t>take full frame at shortest texp in dark</t>
  </si>
  <si>
    <t>sigma_y_dark</t>
  </si>
  <si>
    <t>Temporal dark noise</t>
  </si>
  <si>
    <t>Temporal variation in dark</t>
  </si>
  <si>
    <t>u_e_min</t>
  </si>
  <si>
    <t>Sensitivity limit</t>
  </si>
  <si>
    <t>Same as temporal dark noise but in unit e-. Contributed by read noise, ADC quantization noise, and dark shot noise</t>
  </si>
  <si>
    <t>sigma_d</t>
  </si>
  <si>
    <t>Read noise</t>
  </si>
  <si>
    <t>u_I_mean</t>
  </si>
  <si>
    <t>Average dark current (DC)</t>
  </si>
  <si>
    <t>e-/s/px</t>
  </si>
  <si>
    <t xml:space="preserve">Dark current averaged from pixels in the ROI </t>
  </si>
  <si>
    <t xml:space="preserve">Dark signal temperature dependency </t>
  </si>
  <si>
    <t>°C</t>
  </si>
  <si>
    <t>How much temperature rise is needed for doubling average dark current</t>
  </si>
  <si>
    <t xml:space="preserve">fitted parameter from 3 temperatures points: CT, RT, HT. </t>
  </si>
  <si>
    <t>Dark current non uniformity (DCNU) stdev</t>
  </si>
  <si>
    <t>dead_pix </t>
  </si>
  <si>
    <t>px </t>
  </si>
  <si>
    <t>Take 1 saturation frame (by using long exposure time and in bright). Subtract with 1 dark frame to get the light response per pixel. Exclude black row pixels</t>
  </si>
  <si>
    <t>Global: &lt;5% of mean value. No local definition.</t>
  </si>
  <si>
    <t>dead_row </t>
  </si>
  <si>
    <t>rows </t>
  </si>
  <si>
    <t>dead_col </t>
  </si>
  <si>
    <t>cols </t>
  </si>
  <si>
    <t>bright_pix </t>
  </si>
  <si>
    <t>Number of bright pixels </t>
  </si>
  <si>
    <t xml:space="preserve">Bright pixel is a pixel that has unusually high value in dark condition. This definition can cover: pixel that has very high, i.e. far outliers in pixel DC histogram, or broken pixel/col/row that has unusually very high offset </t>
  </si>
  <si>
    <t>Take 1 dark frame with short exposure time. Include black row pixels.</t>
  </si>
  <si>
    <t>Global: &gt;20%DR. No local definition</t>
  </si>
  <si>
    <t>bright_row </t>
  </si>
  <si>
    <t>Number of bright rows </t>
  </si>
  <si>
    <t>if row contains &gt;100 bright pixels. The pixels included in bright_row will then be excluded from bright_pix. </t>
  </si>
  <si>
    <t>bright_col </t>
  </si>
  <si>
    <t>Number of bright cols </t>
  </si>
  <si>
    <t>if col contains &gt;100 bright pixels. The pixels included in bright_col will then be excluded from bright_pix. </t>
  </si>
  <si>
    <t>bad_col</t>
  </si>
  <si>
    <t>Number of bad columns</t>
  </si>
  <si>
    <t>Bad_col = dead_col + bright_col</t>
  </si>
  <si>
    <t>bad_row</t>
  </si>
  <si>
    <t>Number of bad rows</t>
  </si>
  <si>
    <t>Bad_row = dead_row + bright_row</t>
  </si>
  <si>
    <t>bad_col_distance</t>
  </si>
  <si>
    <t xml:space="preserve">Calculate smallest distance between any bad columns. </t>
  </si>
  <si>
    <t>bad_row_distance</t>
  </si>
  <si>
    <t>Calculate smallest distance between any bad rows.</t>
  </si>
  <si>
    <t>DSNU1288</t>
  </si>
  <si>
    <t>Describes offset variation between pixels.</t>
  </si>
  <si>
    <t>Dark signal non uniformity (DSNU) local stdev</t>
  </si>
  <si>
    <t>col_fpn</t>
  </si>
  <si>
    <t>Column FPN without black row correction, global stdev</t>
  </si>
  <si>
    <t>Column FPN without black row correction, local stdev</t>
  </si>
  <si>
    <t>PRNU1288</t>
  </si>
  <si>
    <t>% of mean</t>
  </si>
  <si>
    <t>Photo response non uniformity (PRNU) local stdev</t>
  </si>
  <si>
    <t>Additional comment</t>
  </si>
  <si>
    <t>These parameters can represent the tail part of DC histogram</t>
  </si>
  <si>
    <t>Stdev of Gaussian fitting of pixel DC histogram. Should cover only the main lobe of the histogram and not the tail part.</t>
  </si>
  <si>
    <t>to distinguish clusters due to pixel crosstalk or something else</t>
  </si>
  <si>
    <t>Hot pixel map with three different thresholds is generated</t>
  </si>
  <si>
    <t>OK to avg color ch. Difference in color ch due to difference in K value</t>
  </si>
  <si>
    <t>hot_cluster_3 </t>
  </si>
  <si>
    <t>hot_cluster_2 </t>
  </si>
  <si>
    <t>hot_pix_0 </t>
  </si>
  <si>
    <t>hot_pix_1 </t>
  </si>
  <si>
    <t>hot_pix_2 </t>
  </si>
  <si>
    <t>DSNU1288_col</t>
  </si>
  <si>
    <t>DSNU1288_row</t>
  </si>
  <si>
    <t>Describes gain (light response) variation between pixels globally. Report that this PRNU value includes light nonuniformity of ...%pp</t>
  </si>
  <si>
    <t>Describes gain (light response) variation between pixels in close proximity</t>
  </si>
  <si>
    <t>Describes offset variation between pixels in close proximity</t>
  </si>
  <si>
    <t>DSNU global stdev, col contribution</t>
  </si>
  <si>
    <t>DSNU global stdev, row contribution</t>
  </si>
  <si>
    <t>Describes the outliers in the offset histogram</t>
  </si>
  <si>
    <t>PRNU1288_col</t>
  </si>
  <si>
    <t>PRNU1288_row</t>
  </si>
  <si>
    <t>Describes the outliers in the gain histogram</t>
  </si>
  <si>
    <t>response deviates by &gt; 10% compared to its mean global PRNU frame.</t>
  </si>
  <si>
    <t>DSNU global map is generated, where the color channels are recombined</t>
  </si>
  <si>
    <t>OK to avg color ch?</t>
  </si>
  <si>
    <t>Take DSNU frame, i.e. black row corrected dark frame (of the same texp as PRNU frame) that is averaged from 100 frames to remove temporal noise contribution.  From that, generate pixel offset histogram.</t>
  </si>
  <si>
    <t xml:space="preserve">Global: stdev of Gaussian fitting of pixel offset histogram. </t>
  </si>
  <si>
    <t>Take PRNU frame, i.e. 50%DR frame subtracted by dark frame of the same texp, and that is averaged from 100 frames to remove temporal noise contribution. From that, generate pixel gain histogram.</t>
  </si>
  <si>
    <t xml:space="preserve">Global: stdev of Gaussian fitting of pixel gain histogram. </t>
  </si>
  <si>
    <t>PRNU global map is generated, where the color channels are recombined</t>
  </si>
  <si>
    <t>PRNU global stdev, col contribution</t>
  </si>
  <si>
    <t>PRNU global stdev, row contribution</t>
  </si>
  <si>
    <t>Dark signal non uniformity (DSNU, i.e. offset FPN) global stdev</t>
  </si>
  <si>
    <t>Similar to DSNU but without column FPN reduction. In this case, pixel contribution will be much less than column contribution, as expected</t>
  </si>
  <si>
    <t xml:space="preserve">Take DSNU frame without black row correction, averaged from 100 frames to remove temporal noise contribution.  </t>
  </si>
  <si>
    <t>from list of hot pixels &gt; criteria 1, classify the clusters according to its size. percentage ratio nb of hot pixels in clusters / hot pixels</t>
  </si>
  <si>
    <t>Percentage of hot pixels &gt; criteria 1 </t>
  </si>
  <si>
    <t>Percentage of hot pixels &gt; criteria 2 </t>
  </si>
  <si>
    <t>Percentage of hot pixels &gt; criteria 3 </t>
  </si>
  <si>
    <t>Percentage of clusters with 2 hot pixels </t>
  </si>
  <si>
    <t>Percentage of clusters with &gt;3 hot pixels </t>
  </si>
  <si>
    <t>Useful to check if spatial variation is dominated by column or row</t>
  </si>
  <si>
    <t>Local: similar to global, but calculate stdev from each 32 column tiles, and then take average from the stdevs</t>
  </si>
  <si>
    <t>Local: similar to global, but calculate stdev from each 32x32 tiles, and then take average from the stdevs</t>
  </si>
  <si>
    <r>
      <rPr>
        <sz val="11"/>
        <color rgb="FF000000"/>
        <rFont val="Aptos Narrow"/>
        <scheme val="minor"/>
      </rPr>
      <t xml:space="preserve">PTC analysis scope </t>
    </r>
    <r>
      <rPr>
        <b/>
        <sz val="11"/>
        <color rgb="FF000000"/>
        <rFont val="Aptos Narrow"/>
        <scheme val="minor"/>
      </rPr>
      <t>(calculated AND reported for each color channel)</t>
    </r>
  </si>
  <si>
    <r>
      <rPr>
        <sz val="11"/>
        <color rgb="FF000000"/>
        <rFont val="Aptos Narrow"/>
        <scheme val="minor"/>
      </rPr>
      <t xml:space="preserve">DC per pixel analysis scope </t>
    </r>
    <r>
      <rPr>
        <b/>
        <sz val="11"/>
        <color rgb="FF000000"/>
        <rFont val="Aptos Narrow"/>
        <scheme val="minor"/>
      </rPr>
      <t>(calculated without channel split, but reported for each color channel)</t>
    </r>
    <r>
      <rPr>
        <sz val="11"/>
        <color rgb="FF000000"/>
        <rFont val="Aptos Narrow"/>
        <scheme val="minor"/>
      </rPr>
      <t>. Temperature must be controlled</t>
    </r>
  </si>
  <si>
    <r>
      <rPr>
        <sz val="11"/>
        <color rgb="FF000000"/>
        <rFont val="Aptos Narrow"/>
        <scheme val="minor"/>
      </rPr>
      <t xml:space="preserve">Defect map part 1 scope </t>
    </r>
    <r>
      <rPr>
        <b/>
        <sz val="11"/>
        <color rgb="FF000000"/>
        <rFont val="Aptos Narrow"/>
        <scheme val="minor"/>
      </rPr>
      <t>(calculated without channel split)</t>
    </r>
  </si>
  <si>
    <r>
      <rPr>
        <sz val="11"/>
        <color rgb="FF000000"/>
        <rFont val="Aptos Narrow"/>
        <scheme val="minor"/>
      </rPr>
      <t>SN analysis scop</t>
    </r>
    <r>
      <rPr>
        <b/>
        <sz val="11"/>
        <color rgb="FF000000"/>
        <rFont val="Aptos Narrow"/>
        <scheme val="minor"/>
      </rPr>
      <t>e (calculated AND reported for each color channel)</t>
    </r>
  </si>
  <si>
    <t>DSNU_outlier_pix</t>
  </si>
  <si>
    <t>PRNU_outlier_pix</t>
  </si>
  <si>
    <t>Number of DSNU global outliers</t>
  </si>
  <si>
    <t>Number of PRNU global outliers</t>
  </si>
  <si>
    <t>C, P?</t>
  </si>
  <si>
    <t>Describes DC variation over pixels</t>
  </si>
  <si>
    <t>Dead pixel is a pixel that has unusually low positive or negative response when responding to light. other name: stuck-at pixel or negative gain pixel</t>
  </si>
  <si>
    <t>Number dead pixels</t>
  </si>
  <si>
    <t>Number of dead rows</t>
  </si>
  <si>
    <t>Number of dead columns</t>
  </si>
  <si>
    <t>using monochromator and mono sample with uL to avoid crosstalk, need correct value of light irradiance as a function of wavelength</t>
  </si>
  <si>
    <t>Maximum SNR obtained at the saturation limit, when the photon shot noise dominates </t>
  </si>
  <si>
    <t>cluster size of 2 pixel, because due to crosstalk we expect that hot pixels appear in groups of 2</t>
  </si>
  <si>
    <t xml:space="preserve">Global: stdev of Gaussian fitting of pixel offset histogram, from DSNU frame without correction. </t>
  </si>
  <si>
    <t>&gt; 200DN compared to its mean global DSNU frame. </t>
  </si>
  <si>
    <t>px</t>
  </si>
  <si>
    <t xml:space="preserve">px </t>
  </si>
  <si>
    <t xml:space="preserve">cols </t>
  </si>
  <si>
    <t xml:space="preserve">rows </t>
  </si>
  <si>
    <t>DSNU_local</t>
  </si>
  <si>
    <t>col_fpn_local</t>
  </si>
  <si>
    <t>PRNU_local</t>
  </si>
  <si>
    <t>Photo response non uniformity (PRNU, i.e. gain FPN) global stdev</t>
  </si>
  <si>
    <t>Parameter​</t>
  </si>
  <si>
    <t>Global variation​</t>
  </si>
  <si>
    <t>Local variation​</t>
  </si>
  <si>
    <t>Count outliers​</t>
  </si>
  <si>
    <t>Defect map​</t>
  </si>
  <si>
    <t>Pixel offset​</t>
  </si>
  <si>
    <t>DSNU1288, DSNU1288_row, DSNU1288_col​</t>
  </si>
  <si>
    <t>DSNU_local (32x32 tiles)​</t>
  </si>
  <si>
    <t>Pixel offset without BR correction​</t>
  </si>
  <si>
    <t>Col_fpn​</t>
  </si>
  <si>
    <t>Col_fpn_local (32 col tiles)​</t>
  </si>
  <si>
    <t>-​</t>
  </si>
  <si>
    <t>Gain (light response)​</t>
  </si>
  <si>
    <t>PRNU1288, PRNU1288_row, PRNU1288_col​</t>
  </si>
  <si>
    <t>PRNU_local (32x32 tiles)​</t>
  </si>
  <si>
    <t>Dark current​</t>
  </si>
  <si>
    <t>DCNU​</t>
  </si>
  <si>
    <t>hot_pix_0/1/2, hot_cluster 2/3​</t>
  </si>
  <si>
    <t>PlotDCNUMap​</t>
  </si>
  <si>
    <r>
      <t xml:space="preserve">DSNU_outlier_pix, </t>
    </r>
    <r>
      <rPr>
        <b/>
        <sz val="12"/>
        <color rgb="FF6D6968"/>
        <rFont val="Helvetica"/>
        <charset val="1"/>
      </rPr>
      <t>bright_pix, bright_col, bright_row</t>
    </r>
    <r>
      <rPr>
        <sz val="12"/>
        <color rgb="FF6D6968"/>
        <rFont val="Helvetica"/>
        <charset val="1"/>
      </rPr>
      <t>​</t>
    </r>
  </si>
  <si>
    <r>
      <t>PlotBrightMap,</t>
    </r>
    <r>
      <rPr>
        <sz val="12"/>
        <color rgb="FF6D6968"/>
        <rFont val="Helvetica"/>
        <charset val="1"/>
      </rPr>
      <t xml:space="preserve"> PlotDSNUMap​</t>
    </r>
  </si>
  <si>
    <r>
      <t xml:space="preserve">PRNU_outlier_pix, </t>
    </r>
    <r>
      <rPr>
        <b/>
        <sz val="12"/>
        <color rgb="FF6D6968"/>
        <rFont val="Helvetica"/>
        <charset val="1"/>
      </rPr>
      <t>dead_pix, dead_col, dead_row</t>
    </r>
    <r>
      <rPr>
        <sz val="12"/>
        <color rgb="FF6D6968"/>
        <rFont val="Helvetica"/>
        <charset val="1"/>
      </rPr>
      <t>​</t>
    </r>
  </si>
  <si>
    <r>
      <t>PlotDeadMap,</t>
    </r>
    <r>
      <rPr>
        <sz val="12"/>
        <color rgb="FF6D6968"/>
        <rFont val="Helvetica"/>
        <charset val="1"/>
      </rPr>
      <t xml:space="preserve"> PlotPRNUMap​</t>
    </r>
  </si>
  <si>
    <t>bold: can be done before the SN/DC analysis, defects are 'severe'</t>
  </si>
  <si>
    <t>Which parameter to be measured per pixel?​</t>
  </si>
  <si>
    <t>Build histogram, fit with Gaussian and get stdev value --&gt; Global variation​</t>
  </si>
  <si>
    <t>Count outliers based on a specific threshold</t>
  </si>
  <si>
    <t>Spatial variation can be described based on the answers of these questions:</t>
  </si>
  <si>
    <t>Generate defect map to show the spatial distribution of those outliers</t>
  </si>
  <si>
    <t>Create tiles, on each tile measure stdev, then average the stdevs --&gt; Local variation​, i.e. how a parameter varies between pixels in close proximity</t>
  </si>
  <si>
    <t>not bold: can be done only after SN/DC analysis, defects are acceptable to some extent</t>
  </si>
  <si>
    <t>Example in HAS2:</t>
  </si>
  <si>
    <t>it describes spatial variations of 4 different parameters:</t>
  </si>
  <si>
    <t>local/global column FPN</t>
  </si>
  <si>
    <t>local/global DSNU --&gt; this fits more to our DCNU definition [e-/s]</t>
  </si>
  <si>
    <t>local/global FPN --&gt; this fits more to our DSNU definition [e-]</t>
  </si>
  <si>
    <t xml:space="preserve">local/global PRNU </t>
  </si>
  <si>
    <t>outliers are not reported, maybe included only in their production test</t>
  </si>
  <si>
    <t>Gain from photodiode to column voltage. Other name: charge to voltage conversion factor</t>
  </si>
  <si>
    <t>In STAR1000:</t>
  </si>
  <si>
    <t xml:space="preserve">local/global/outliers PRNU </t>
  </si>
  <si>
    <t>column FPN</t>
  </si>
  <si>
    <t>local/global/outliers FPN --&gt; here it is unclear what is the difference with DSNU?</t>
  </si>
  <si>
    <t xml:space="preserve">local/global/outliers DSNU </t>
  </si>
  <si>
    <t>MID</t>
  </si>
  <si>
    <t>u_I_T_dep</t>
  </si>
  <si>
    <t>col_fpn_outlier</t>
  </si>
  <si>
    <t>Number of clusters with 2 dead pixels </t>
  </si>
  <si>
    <t>Number of clusters with &gt;3 dead pixels </t>
  </si>
  <si>
    <t>dead_cluster_2 </t>
  </si>
  <si>
    <t>dead_cluster_3 </t>
  </si>
  <si>
    <t>bright_cluster_2 </t>
  </si>
  <si>
    <t>bright_cluster_3 </t>
  </si>
  <si>
    <t>Number of clusters with 2 bright pixels </t>
  </si>
  <si>
    <t>Number of clusters with &gt;3 bright pixels </t>
  </si>
  <si>
    <t>DSNU_local_outlier_pix</t>
  </si>
  <si>
    <t>Saturation limit is derived from the index_u_ysat data point. The accuracy depends a lot on the number of data points around saturation</t>
  </si>
  <si>
    <t>Expected DN range at texp = 10ms</t>
  </si>
  <si>
    <t>u_I_mean_DN</t>
  </si>
  <si>
    <t>DN/s</t>
  </si>
  <si>
    <t>Average dark current in DN/s</t>
  </si>
  <si>
    <t xml:space="preserve">Responsivity = QE (depends on wavelength) * conversion gain / ADC gain (in typ).  In theory, responsivity is maximum at green wavelength. </t>
  </si>
  <si>
    <t>System gain = conversion gain / ADC gain (in typ) </t>
  </si>
  <si>
    <t>DN range at texp=10ms = 4096 - dark_level_DN - (texp*u_I_mean_DN)</t>
  </si>
  <si>
    <t>u_I_mean = u_I_mean_DN / K</t>
  </si>
  <si>
    <t>if K is not available, provide as an input</t>
  </si>
  <si>
    <t>If direct meas with scope is not available, provide the last measured value as the input</t>
  </si>
  <si>
    <t>dark_shot_noise_short_texp</t>
  </si>
  <si>
    <t>Expected dark shot noise at 80us</t>
  </si>
  <si>
    <t>Expected dark shot noise (average) = sqrt(u_I_mean * shortest texp)</t>
  </si>
  <si>
    <t>This might give better insight on the change of saturation limit with corners</t>
  </si>
  <si>
    <t>Count number of pixels with &gt; 100DN compared to its mean of the tiles, and take average of numbers from all tiles</t>
  </si>
  <si>
    <t>Local: similar to global, but calculate stdev from each 32x32 tiles, and then take average of stdevs from all tiles</t>
  </si>
  <si>
    <t>Count number of pixels with &gt; 5% deviation compared to its mean of the tiles, and take average of numbers from all tiles</t>
  </si>
  <si>
    <t>PRNU_local_outlier_pix</t>
  </si>
  <si>
    <t>col</t>
  </si>
  <si>
    <t>Number of DSNU local outliers</t>
  </si>
  <si>
    <t>Number of column offset outliers without black correction</t>
  </si>
  <si>
    <t>Number of PRNU local outliers</t>
  </si>
  <si>
    <t>if row contains &gt;100 dead pixels, the pixels included in dead_row will then be excluded from dead_pix. </t>
  </si>
  <si>
    <r>
      <rPr>
        <sz val="11"/>
        <color theme="1"/>
        <rFont val="Aptos Narrow"/>
        <family val="2"/>
        <scheme val="minor"/>
      </rPr>
      <t>ROI of 400 x 400 pix for P, global for C</t>
    </r>
  </si>
  <si>
    <t>criteria 1: &gt; 5x average DC. percentage relative to number of pixels in ROI (population)</t>
  </si>
  <si>
    <t>criteria 2: &gt; 10x average DC</t>
  </si>
  <si>
    <t>criteria 3: &gt; 100x average DC</t>
  </si>
  <si>
    <t>Total T0038 params = 39</t>
  </si>
  <si>
    <t>(3510 is reserved for save success parameter)</t>
  </si>
  <si>
    <t>total T0035 params = 15</t>
  </si>
  <si>
    <t>cl</t>
  </si>
  <si>
    <t>DN_range_10ms</t>
  </si>
  <si>
    <t>Noise contributed by the electronics (pixel source follower, ADC) and independent of exposure time. = u_e_min - ADC quant noise - shot noise contrib</t>
  </si>
  <si>
    <t>&gt; 200DN compared to its mean </t>
  </si>
  <si>
    <t>More accurate than previous definition since this excludes dark shot noise term</t>
  </si>
  <si>
    <t>Dead map is generated. Dead pixels fom dead rows or columns are excluded from this count</t>
  </si>
  <si>
    <t>Bright map is generated. Bright pixels from bright rows or columns are excluded from this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</si>
</sst>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color theme="0"/>
      <name val="Aptos Narrow"/>
      <family val="2"/>
      <scheme val="minor"/>
    </font>
    <font>
      <sz val="11"/>
      <color rgb="FF242424"/>
      <name val="Aptos Narrow"/>
      <charset val="1"/>
    </font>
    <font>
      <i/>
      <sz val="11"/>
      <color theme="1"/>
      <name val="Aptos Narrow"/>
      <family val="2"/>
      <scheme val="minor"/>
    </font>
    <font>
      <strike/>
      <sz val="11"/>
      <color theme="1"/>
      <name val="Aptos Narrow"/>
      <family val="2"/>
      <scheme val="minor"/>
    </font>
    <font>
      <b/>
      <sz val="11"/>
      <color rgb="FFFF0000"/>
      <name val="Aptos Narrow"/>
      <family val="2"/>
      <scheme val="minor"/>
    </font>
    <font>
      <sz val="11"/>
      <color theme="1"/>
      <name val="Aptos Narrow"/>
      <family val="2"/>
    </font>
    <font>
      <sz val="11"/>
      <color rgb="FF000000"/>
      <name val="Aptos Narrow"/>
      <scheme val="minor"/>
    </font>
    <font>
      <sz val="11"/>
      <color rgb="FFFF0000"/>
      <name val="Aptos Narrow"/>
      <scheme val="minor"/>
    </font>
    <font>
      <sz val="11"/>
      <color theme="1"/>
      <name val="Aptos Narrow"/>
      <scheme val="minor"/>
    </font>
    <font>
      <sz val="11"/>
      <color theme="0"/>
      <name val="Aptos Narrow"/>
      <scheme val="minor"/>
    </font>
    <font>
      <sz val="11"/>
      <color theme="2" tint="-0.249977111117893"/>
      <name val="Aptos Narrow"/>
      <scheme val="minor"/>
    </font>
    <font>
      <strike/>
      <sz val="11"/>
      <color theme="1"/>
      <name val="Aptos Narrow"/>
      <scheme val="minor"/>
    </font>
    <font>
      <i/>
      <sz val="11"/>
      <color theme="1"/>
      <name val="Aptos Narrow"/>
      <scheme val="minor"/>
    </font>
    <font>
      <sz val="11"/>
      <color theme="2" tint="-0.249977111117893"/>
      <name val="Aptos Narrow"/>
      <family val="2"/>
      <scheme val="minor"/>
    </font>
    <font>
      <b/>
      <sz val="11"/>
      <color rgb="FF000000"/>
      <name val="Aptos Narrow"/>
      <scheme val="minor"/>
    </font>
    <font>
      <b/>
      <sz val="12"/>
      <color rgb="FF6D6968"/>
      <name val="Helvetica"/>
      <charset val="1"/>
    </font>
    <font>
      <sz val="12"/>
      <color rgb="FF6D6968"/>
      <name val="Helvetica"/>
      <charset val="1"/>
    </font>
    <font>
      <b/>
      <sz val="12"/>
      <color rgb="FFFFFFFF"/>
      <name val="Helvetica"/>
      <charset val="1"/>
    </font>
    <font>
      <sz val="12"/>
      <color theme="1"/>
      <name val="Aptos Narrow"/>
      <family val="2"/>
      <scheme val="minor"/>
    </font>
    <font>
      <b/>
      <sz val="12"/>
      <color theme="1"/>
      <name val="Aptos Narrow"/>
      <family val="2"/>
      <scheme val="minor"/>
    </font>
    <font>
      <sz val="11"/>
      <color rgb="FF000000"/>
      <name val="Aptos Narrow"/>
      <family val="2"/>
      <scheme val="minor"/>
    </font>
    <font>
      <sz val="11"/>
      <color rgb="FF242424"/>
      <name val="Aptos Narrow"/>
      <family val="2"/>
      <scheme val="minor"/>
    </font>
    <font>
      <sz val="11"/>
      <color theme="0" tint="-0.499984740745262"/>
      <name val="Aptos Narrow"/>
      <family val="2"/>
      <scheme val="minor"/>
    </font>
  </fonts>
  <fills count="13">
    <fill>
      <patternFill patternType="none"/>
    </fill>
    <fill>
      <patternFill patternType="gray125"/>
    </fill>
    <fill>
      <patternFill patternType="solid">
        <fgColor theme="5"/>
      </patternFill>
    </fill>
    <fill>
      <patternFill patternType="solid">
        <fgColor theme="5"/>
        <bgColor indexed="64"/>
      </patternFill>
    </fill>
    <fill>
      <patternFill patternType="solid">
        <fgColor rgb="FFFFC000"/>
        <bgColor indexed="64"/>
      </patternFill>
    </fill>
    <fill>
      <patternFill patternType="solid">
        <fgColor theme="5" tint="0.39997558519241921"/>
        <bgColor indexed="64"/>
      </patternFill>
    </fill>
    <fill>
      <patternFill patternType="solid">
        <fgColor rgb="FFFBE2D5"/>
        <bgColor indexed="64"/>
      </patternFill>
    </fill>
    <fill>
      <patternFill patternType="solid">
        <fgColor rgb="FFE97132"/>
        <bgColor indexed="64"/>
      </patternFill>
    </fill>
    <fill>
      <patternFill patternType="solid">
        <fgColor rgb="FFFFFFFF"/>
        <bgColor indexed="64"/>
      </patternFill>
    </fill>
    <fill>
      <patternFill patternType="solid">
        <fgColor rgb="FFEF4123"/>
        <bgColor indexed="64"/>
      </patternFill>
    </fill>
    <fill>
      <patternFill patternType="solid">
        <fgColor rgb="FFF9CFCC"/>
        <bgColor indexed="64"/>
      </patternFill>
    </fill>
    <fill>
      <patternFill patternType="solid">
        <fgColor rgb="FFFCE8E8"/>
        <bgColor indexed="64"/>
      </patternFill>
    </fill>
    <fill>
      <patternFill patternType="solid">
        <fgColor rgb="FFFFFF00"/>
        <bgColor indexed="64"/>
      </patternFill>
    </fill>
  </fills>
  <borders count="18">
    <border>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style="thin">
        <color rgb="FFFFFFFF"/>
      </right>
      <top style="thin">
        <color rgb="FF000000"/>
      </top>
      <bottom style="thick">
        <color rgb="FFFFFFFF"/>
      </bottom>
      <diagonal/>
    </border>
    <border>
      <left style="thin">
        <color rgb="FFFFFFFF"/>
      </left>
      <right style="thin">
        <color rgb="FFFFFFFF"/>
      </right>
      <top style="thin">
        <color rgb="FF000000"/>
      </top>
      <bottom style="thick">
        <color rgb="FFFFFFFF"/>
      </bottom>
      <diagonal/>
    </border>
    <border>
      <left style="thin">
        <color rgb="FFFFFFFF"/>
      </left>
      <right style="thin">
        <color rgb="FF000000"/>
      </right>
      <top style="thin">
        <color rgb="FF000000"/>
      </top>
      <bottom style="thick">
        <color rgb="FFFFFFFF"/>
      </bottom>
      <diagonal/>
    </border>
    <border>
      <left style="thin">
        <color rgb="FF000000"/>
      </left>
      <right style="thin">
        <color rgb="FFFFFFFF"/>
      </right>
      <top style="thick">
        <color rgb="FFFFFFFF"/>
      </top>
      <bottom style="thin">
        <color rgb="FFFFFFFF"/>
      </bottom>
      <diagonal/>
    </border>
    <border>
      <left style="thin">
        <color rgb="FFFFFFFF"/>
      </left>
      <right style="thin">
        <color rgb="FFFFFFFF"/>
      </right>
      <top style="thick">
        <color rgb="FFFFFFFF"/>
      </top>
      <bottom style="thin">
        <color rgb="FFFFFFFF"/>
      </bottom>
      <diagonal/>
    </border>
    <border>
      <left style="thin">
        <color rgb="FFFFFFFF"/>
      </left>
      <right style="thin">
        <color rgb="FF000000"/>
      </right>
      <top style="thick">
        <color rgb="FFFFFFFF"/>
      </top>
      <bottom style="thin">
        <color rgb="FFFFFFFF"/>
      </bottom>
      <diagonal/>
    </border>
    <border>
      <left style="thin">
        <color rgb="FF000000"/>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000000"/>
      </right>
      <top style="thin">
        <color rgb="FFFFFFFF"/>
      </top>
      <bottom style="thin">
        <color rgb="FFFFFFFF"/>
      </bottom>
      <diagonal/>
    </border>
    <border>
      <left style="thin">
        <color rgb="FF000000"/>
      </left>
      <right style="thin">
        <color rgb="FFFFFFFF"/>
      </right>
      <top style="thin">
        <color rgb="FFFFFFFF"/>
      </top>
      <bottom style="thin">
        <color rgb="FF000000"/>
      </bottom>
      <diagonal/>
    </border>
    <border>
      <left style="thin">
        <color rgb="FFFFFFFF"/>
      </left>
      <right style="thin">
        <color rgb="FFFFFFFF"/>
      </right>
      <top style="thin">
        <color rgb="FFFFFFFF"/>
      </top>
      <bottom style="thin">
        <color rgb="FF000000"/>
      </bottom>
      <diagonal/>
    </border>
    <border>
      <left style="thin">
        <color rgb="FFFFFFFF"/>
      </left>
      <right style="thin">
        <color rgb="FF000000"/>
      </right>
      <top style="thin">
        <color rgb="FFFFFFFF"/>
      </top>
      <bottom style="thin">
        <color rgb="FF000000"/>
      </bottom>
      <diagonal/>
    </border>
  </borders>
  <cellStyleXfs count="2">
    <xf numFmtId="0" fontId="0" fillId="0" borderId="0"/>
    <xf numFmtId="0" fontId="3" fillId="2" borderId="0" applyNumberFormat="0" applyBorder="0" applyAlignment="0" applyProtection="0"/>
  </cellStyleXfs>
  <cellXfs count="102">
    <xf numFmtId="0" fontId="0" fillId="0" borderId="0" xfId="0"/>
    <xf numFmtId="0" fontId="0" fillId="0" borderId="0" xfId="0" applyAlignment="1">
      <alignment wrapText="1"/>
    </xf>
    <xf numFmtId="0" fontId="0" fillId="0" borderId="0" xfId="0" applyAlignment="1">
      <alignment horizontal="center"/>
    </xf>
    <xf numFmtId="0" fontId="0" fillId="4" borderId="0" xfId="0" applyFill="1" applyAlignment="1">
      <alignment horizontal="center"/>
    </xf>
    <xf numFmtId="0" fontId="3" fillId="2" borderId="0" xfId="1" applyAlignment="1">
      <alignment horizontal="left" wrapText="1"/>
    </xf>
    <xf numFmtId="9" fontId="0" fillId="0" borderId="0" xfId="0" applyNumberFormat="1"/>
    <xf numFmtId="0" fontId="0" fillId="3" borderId="0" xfId="0" applyFill="1"/>
    <xf numFmtId="0" fontId="0" fillId="3" borderId="0" xfId="0" applyFill="1" applyAlignment="1">
      <alignment horizontal="center"/>
    </xf>
    <xf numFmtId="0" fontId="0" fillId="3" borderId="0" xfId="0" applyFill="1" applyAlignment="1">
      <alignment wrapText="1"/>
    </xf>
    <xf numFmtId="0" fontId="5" fillId="0" borderId="0" xfId="0" applyFont="1" applyAlignment="1">
      <alignment wrapText="1"/>
    </xf>
    <xf numFmtId="0" fontId="4" fillId="0" borderId="0" xfId="0" applyFont="1" applyAlignment="1">
      <alignment wrapText="1"/>
    </xf>
    <xf numFmtId="0" fontId="3" fillId="3" borderId="0" xfId="0" applyFont="1" applyFill="1"/>
    <xf numFmtId="0" fontId="6" fillId="0" borderId="0" xfId="0" applyFont="1"/>
    <xf numFmtId="0" fontId="6" fillId="0" borderId="0" xfId="0" applyFont="1" applyAlignment="1">
      <alignment horizontal="center"/>
    </xf>
    <xf numFmtId="0" fontId="6" fillId="0" borderId="0" xfId="0" applyFont="1" applyAlignment="1">
      <alignment wrapText="1"/>
    </xf>
    <xf numFmtId="0" fontId="10" fillId="0" borderId="0" xfId="0" applyFont="1"/>
    <xf numFmtId="0" fontId="14" fillId="0" borderId="0" xfId="0" applyFont="1" applyAlignment="1">
      <alignment wrapText="1"/>
    </xf>
    <xf numFmtId="0" fontId="10" fillId="0" borderId="0" xfId="0" applyFont="1" applyAlignment="1">
      <alignment wrapText="1"/>
    </xf>
    <xf numFmtId="0" fontId="10" fillId="0" borderId="0" xfId="0" applyFont="1" applyAlignment="1">
      <alignment horizontal="center" wrapText="1"/>
    </xf>
    <xf numFmtId="0" fontId="11" fillId="0" borderId="0" xfId="0" applyFont="1" applyAlignment="1">
      <alignment wrapText="1"/>
    </xf>
    <xf numFmtId="0" fontId="13" fillId="0" borderId="0" xfId="0" applyFont="1" applyAlignment="1">
      <alignment wrapText="1"/>
    </xf>
    <xf numFmtId="0" fontId="13" fillId="0" borderId="0" xfId="0" applyFont="1" applyAlignment="1">
      <alignment horizontal="center" wrapText="1"/>
    </xf>
    <xf numFmtId="0" fontId="12" fillId="3" borderId="0" xfId="0" applyFont="1" applyFill="1"/>
    <xf numFmtId="0" fontId="12" fillId="3" borderId="0" xfId="0" applyFont="1" applyFill="1" applyAlignment="1">
      <alignment wrapText="1"/>
    </xf>
    <xf numFmtId="0" fontId="11" fillId="0" borderId="0" xfId="0" applyFont="1"/>
    <xf numFmtId="0" fontId="11" fillId="5" borderId="0" xfId="0" applyFont="1" applyFill="1"/>
    <xf numFmtId="0" fontId="9" fillId="0" borderId="0" xfId="0" applyFont="1"/>
    <xf numFmtId="0" fontId="13" fillId="0" borderId="0" xfId="0" applyFont="1"/>
    <xf numFmtId="0" fontId="14" fillId="0" borderId="0" xfId="0" applyFont="1"/>
    <xf numFmtId="0" fontId="11" fillId="0" borderId="0" xfId="0" applyFont="1" applyAlignment="1">
      <alignment horizontal="center"/>
    </xf>
    <xf numFmtId="0" fontId="11" fillId="7" borderId="2" xfId="0" applyFont="1" applyFill="1" applyBorder="1"/>
    <xf numFmtId="0" fontId="11" fillId="0" borderId="1" xfId="0" applyFont="1" applyBorder="1"/>
    <xf numFmtId="0" fontId="12" fillId="7" borderId="1" xfId="0" applyFont="1" applyFill="1" applyBorder="1"/>
    <xf numFmtId="0" fontId="10" fillId="0" borderId="1" xfId="0" applyFont="1" applyBorder="1"/>
    <xf numFmtId="0" fontId="9" fillId="0" borderId="1" xfId="0" applyFont="1" applyBorder="1"/>
    <xf numFmtId="0" fontId="11" fillId="5" borderId="1" xfId="0" applyFont="1" applyFill="1" applyBorder="1"/>
    <xf numFmtId="0" fontId="13" fillId="0" borderId="1" xfId="0" applyFont="1" applyBorder="1"/>
    <xf numFmtId="0" fontId="14" fillId="0" borderId="1" xfId="0" applyFont="1" applyBorder="1"/>
    <xf numFmtId="0" fontId="11" fillId="5" borderId="3" xfId="0" applyFont="1" applyFill="1" applyBorder="1"/>
    <xf numFmtId="0" fontId="11" fillId="0" borderId="4" xfId="0" applyFont="1" applyBorder="1"/>
    <xf numFmtId="0" fontId="11" fillId="0" borderId="5" xfId="0" applyFont="1" applyBorder="1"/>
    <xf numFmtId="0" fontId="11" fillId="5" borderId="2" xfId="0" applyFont="1" applyFill="1" applyBorder="1"/>
    <xf numFmtId="0" fontId="14" fillId="0" borderId="0" xfId="0" applyFont="1" applyAlignment="1">
      <alignment horizontal="center" wrapText="1"/>
    </xf>
    <xf numFmtId="0" fontId="11" fillId="5" borderId="3" xfId="0" applyFont="1" applyFill="1" applyBorder="1" applyAlignment="1">
      <alignment wrapText="1"/>
    </xf>
    <xf numFmtId="0" fontId="11" fillId="5" borderId="3" xfId="0" applyFont="1" applyFill="1" applyBorder="1" applyAlignment="1">
      <alignment horizontal="center" wrapText="1"/>
    </xf>
    <xf numFmtId="0" fontId="11" fillId="4" borderId="0" xfId="0" applyFont="1" applyFill="1" applyAlignment="1">
      <alignment horizontal="center" wrapText="1"/>
    </xf>
    <xf numFmtId="9" fontId="11" fillId="0" borderId="0" xfId="0" applyNumberFormat="1" applyFont="1" applyAlignment="1">
      <alignment wrapText="1"/>
    </xf>
    <xf numFmtId="0" fontId="11" fillId="0" borderId="0" xfId="0" applyFont="1" applyAlignment="1">
      <alignment horizontal="center" wrapText="1"/>
    </xf>
    <xf numFmtId="0" fontId="9" fillId="0" borderId="0" xfId="0" applyFont="1" applyAlignment="1">
      <alignment wrapText="1"/>
    </xf>
    <xf numFmtId="0" fontId="9" fillId="4" borderId="0" xfId="0" applyFont="1" applyFill="1" applyAlignment="1">
      <alignment horizontal="center" wrapText="1"/>
    </xf>
    <xf numFmtId="0" fontId="11" fillId="6" borderId="0" xfId="0" applyFont="1" applyFill="1" applyAlignment="1">
      <alignment horizontal="center" wrapText="1"/>
    </xf>
    <xf numFmtId="0" fontId="9" fillId="5" borderId="3" xfId="0" applyFont="1" applyFill="1" applyBorder="1" applyAlignment="1">
      <alignment wrapText="1"/>
    </xf>
    <xf numFmtId="0" fontId="15" fillId="5" borderId="3" xfId="0" applyFont="1" applyFill="1" applyBorder="1" applyAlignment="1">
      <alignment wrapText="1"/>
    </xf>
    <xf numFmtId="0" fontId="11" fillId="0" borderId="5" xfId="0" applyFont="1" applyBorder="1" applyAlignment="1">
      <alignment wrapText="1"/>
    </xf>
    <xf numFmtId="0" fontId="11" fillId="0" borderId="5" xfId="0" applyFont="1" applyBorder="1" applyAlignment="1">
      <alignment horizontal="center" wrapText="1"/>
    </xf>
    <xf numFmtId="0" fontId="12" fillId="5" borderId="0" xfId="1" applyFont="1" applyFill="1" applyBorder="1" applyAlignment="1">
      <alignment horizontal="left" wrapText="1"/>
    </xf>
    <xf numFmtId="0" fontId="11" fillId="5" borderId="0" xfId="0" applyFont="1" applyFill="1" applyAlignment="1">
      <alignment wrapText="1"/>
    </xf>
    <xf numFmtId="0" fontId="9" fillId="5" borderId="3" xfId="0" applyFont="1" applyFill="1" applyBorder="1"/>
    <xf numFmtId="0" fontId="20" fillId="9" borderId="6" xfId="0" applyFont="1" applyFill="1" applyBorder="1" applyAlignment="1">
      <alignment wrapText="1"/>
    </xf>
    <xf numFmtId="0" fontId="20" fillId="9" borderId="7" xfId="0" applyFont="1" applyFill="1" applyBorder="1" applyAlignment="1">
      <alignment wrapText="1"/>
    </xf>
    <xf numFmtId="0" fontId="20" fillId="9" borderId="8" xfId="0" applyFont="1" applyFill="1" applyBorder="1" applyAlignment="1">
      <alignment wrapText="1"/>
    </xf>
    <xf numFmtId="0" fontId="21" fillId="0" borderId="0" xfId="0" applyFont="1"/>
    <xf numFmtId="0" fontId="19" fillId="10" borderId="9" xfId="0" applyFont="1" applyFill="1" applyBorder="1" applyAlignment="1">
      <alignment wrapText="1"/>
    </xf>
    <xf numFmtId="0" fontId="19" fillId="10" borderId="10" xfId="0" applyFont="1" applyFill="1" applyBorder="1" applyAlignment="1">
      <alignment wrapText="1"/>
    </xf>
    <xf numFmtId="0" fontId="18" fillId="10" borderId="11" xfId="0" applyFont="1" applyFill="1" applyBorder="1" applyAlignment="1">
      <alignment wrapText="1"/>
    </xf>
    <xf numFmtId="0" fontId="19" fillId="11" borderId="12" xfId="0" applyFont="1" applyFill="1" applyBorder="1" applyAlignment="1">
      <alignment wrapText="1"/>
    </xf>
    <xf numFmtId="0" fontId="19" fillId="11" borderId="13" xfId="0" applyFont="1" applyFill="1" applyBorder="1" applyAlignment="1">
      <alignment wrapText="1"/>
    </xf>
    <xf numFmtId="0" fontId="19" fillId="11" borderId="13" xfId="0" quotePrefix="1" applyFont="1" applyFill="1" applyBorder="1" applyAlignment="1">
      <alignment wrapText="1"/>
    </xf>
    <xf numFmtId="0" fontId="19" fillId="11" borderId="14" xfId="0" quotePrefix="1" applyFont="1" applyFill="1" applyBorder="1" applyAlignment="1">
      <alignment wrapText="1"/>
    </xf>
    <xf numFmtId="0" fontId="19" fillId="10" borderId="12" xfId="0" applyFont="1" applyFill="1" applyBorder="1" applyAlignment="1">
      <alignment wrapText="1"/>
    </xf>
    <xf numFmtId="0" fontId="19" fillId="10" borderId="13" xfId="0" applyFont="1" applyFill="1" applyBorder="1" applyAlignment="1">
      <alignment wrapText="1"/>
    </xf>
    <xf numFmtId="0" fontId="18" fillId="10" borderId="14" xfId="0" applyFont="1" applyFill="1" applyBorder="1" applyAlignment="1">
      <alignment wrapText="1"/>
    </xf>
    <xf numFmtId="0" fontId="19" fillId="11" borderId="15" xfId="0" applyFont="1" applyFill="1" applyBorder="1" applyAlignment="1">
      <alignment wrapText="1"/>
    </xf>
    <xf numFmtId="0" fontId="19" fillId="11" borderId="16" xfId="0" applyFont="1" applyFill="1" applyBorder="1" applyAlignment="1">
      <alignment wrapText="1"/>
    </xf>
    <xf numFmtId="0" fontId="19" fillId="11" borderId="16" xfId="0" quotePrefix="1" applyFont="1" applyFill="1" applyBorder="1" applyAlignment="1">
      <alignment wrapText="1"/>
    </xf>
    <xf numFmtId="0" fontId="19" fillId="11" borderId="17" xfId="0" applyFont="1" applyFill="1" applyBorder="1" applyAlignment="1">
      <alignment wrapText="1"/>
    </xf>
    <xf numFmtId="0" fontId="22" fillId="0" borderId="0" xfId="0" applyFont="1"/>
    <xf numFmtId="0" fontId="3" fillId="7" borderId="1" xfId="0" applyFont="1" applyFill="1" applyBorder="1"/>
    <xf numFmtId="0" fontId="0" fillId="0" borderId="1" xfId="0" applyBorder="1"/>
    <xf numFmtId="0" fontId="0" fillId="6" borderId="0" xfId="0" applyFill="1" applyAlignment="1">
      <alignment horizontal="center" wrapText="1"/>
    </xf>
    <xf numFmtId="9" fontId="0" fillId="0" borderId="0" xfId="0" applyNumberFormat="1" applyAlignment="1">
      <alignment wrapText="1"/>
    </xf>
    <xf numFmtId="0" fontId="0" fillId="0" borderId="0" xfId="0" applyAlignment="1">
      <alignment horizontal="center" wrapText="1"/>
    </xf>
    <xf numFmtId="0" fontId="23" fillId="0" borderId="0" xfId="0" applyFont="1" applyAlignment="1">
      <alignment wrapText="1"/>
    </xf>
    <xf numFmtId="0" fontId="1" fillId="0" borderId="0" xfId="0" applyFont="1" applyAlignment="1">
      <alignment wrapText="1"/>
    </xf>
    <xf numFmtId="0" fontId="24" fillId="0" borderId="0" xfId="0" applyFont="1" applyAlignment="1">
      <alignment wrapText="1"/>
    </xf>
    <xf numFmtId="0" fontId="16" fillId="0" borderId="0" xfId="0" applyFont="1" applyAlignment="1">
      <alignment wrapText="1"/>
    </xf>
    <xf numFmtId="0" fontId="0" fillId="4" borderId="0" xfId="0" applyFill="1" applyAlignment="1">
      <alignment horizontal="center" wrapText="1"/>
    </xf>
    <xf numFmtId="0" fontId="0" fillId="8" borderId="1" xfId="0" applyFill="1" applyBorder="1" applyAlignment="1">
      <alignment wrapText="1" readingOrder="1"/>
    </xf>
    <xf numFmtId="0" fontId="0" fillId="0" borderId="0" xfId="0" applyAlignment="1">
      <alignment wrapText="1" readingOrder="1"/>
    </xf>
    <xf numFmtId="0" fontId="2" fillId="0" borderId="0" xfId="0" applyFont="1" applyAlignment="1">
      <alignment wrapText="1"/>
    </xf>
    <xf numFmtId="0" fontId="25" fillId="0" borderId="0" xfId="0" applyFont="1" applyAlignment="1">
      <alignment wrapText="1"/>
    </xf>
    <xf numFmtId="0" fontId="0" fillId="0" borderId="0" xfId="0" applyAlignment="1">
      <alignment horizontal="left"/>
    </xf>
    <xf numFmtId="0" fontId="3" fillId="3" borderId="0" xfId="0" applyFont="1" applyFill="1" applyAlignment="1">
      <alignment horizontal="left"/>
    </xf>
    <xf numFmtId="0" fontId="23" fillId="0" borderId="0" xfId="0" applyFont="1"/>
    <xf numFmtId="0" fontId="23" fillId="12" borderId="1" xfId="0" applyFont="1" applyFill="1" applyBorder="1" applyAlignment="1">
      <alignment wrapText="1" readingOrder="1"/>
    </xf>
    <xf numFmtId="0" fontId="23" fillId="0" borderId="0" xfId="0" applyFont="1" applyAlignment="1">
      <alignment wrapText="1" readingOrder="1"/>
    </xf>
    <xf numFmtId="0" fontId="23" fillId="0" borderId="0" xfId="0" applyFont="1" applyAlignment="1">
      <alignment horizontal="center" wrapText="1"/>
    </xf>
    <xf numFmtId="0" fontId="23" fillId="12" borderId="1" xfId="0" applyFont="1" applyFill="1" applyBorder="1"/>
    <xf numFmtId="0" fontId="9" fillId="0" borderId="0" xfId="0" applyFont="1" applyAlignment="1">
      <alignment horizontal="center" wrapText="1"/>
    </xf>
    <xf numFmtId="0" fontId="23" fillId="0" borderId="1" xfId="0" applyFont="1" applyFill="1" applyBorder="1"/>
    <xf numFmtId="0" fontId="23" fillId="12" borderId="1" xfId="0" applyFont="1" applyFill="1" applyBorder="1" applyAlignment="1">
      <alignment wrapText="1"/>
    </xf>
    <xf numFmtId="0" fontId="9" fillId="12" borderId="1" xfId="0" applyFont="1" applyFill="1" applyBorder="1" applyAlignment="1">
      <alignment wrapText="1"/>
    </xf>
  </cellXfs>
  <cellStyles count="2">
    <cellStyle name="Accent2" xfId="1" builtinId="33"/>
    <cellStyle name="Normal" xfId="0" builtinId="0"/>
  </cellStyles>
  <dxfs count="18">
    <dxf>
      <font>
        <b val="0"/>
        <sz val="11"/>
        <name val="Aptos Narrow"/>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Aptos Narrow"/>
        <scheme val="minor"/>
      </font>
      <alignment horizontal="general" vertical="bottom" textRotation="0" wrapText="1" indent="0" justifyLastLine="0" shrinkToFit="0" readingOrder="0"/>
    </dxf>
    <dxf>
      <font>
        <b val="0"/>
        <sz val="11"/>
        <name val="Aptos Narrow"/>
        <scheme val="minor"/>
      </font>
      <alignment wrapText="1"/>
    </dxf>
    <dxf>
      <font>
        <b val="0"/>
        <sz val="11"/>
        <name val="Aptos Narrow"/>
        <scheme val="minor"/>
      </font>
      <alignment horizontal="general" vertical="bottom" textRotation="0" wrapText="1" indent="0" justifyLastLine="0" shrinkToFit="0" readingOrder="0"/>
    </dxf>
    <dxf>
      <font>
        <b val="0"/>
        <sz val="11"/>
        <name val="Aptos Narrow"/>
        <scheme val="minor"/>
      </font>
      <alignment wrapText="1"/>
    </dxf>
    <dxf>
      <font>
        <b val="0"/>
        <sz val="11"/>
        <name val="Aptos Narrow"/>
        <scheme val="minor"/>
      </font>
      <alignment wrapText="1"/>
    </dxf>
    <dxf>
      <font>
        <b val="0"/>
        <sz val="11"/>
        <name val="Aptos Narrow"/>
        <scheme val="minor"/>
      </font>
      <alignment wrapText="1"/>
    </dxf>
    <dxf>
      <font>
        <b val="0"/>
        <sz val="11"/>
        <name val="Aptos Narrow"/>
        <scheme val="minor"/>
      </font>
      <alignment wrapText="1"/>
    </dxf>
    <dxf>
      <font>
        <b val="0"/>
        <sz val="11"/>
        <name val="Aptos Narrow"/>
        <scheme val="minor"/>
      </font>
      <alignment wrapText="1"/>
    </dxf>
    <dxf>
      <font>
        <b val="0"/>
        <sz val="11"/>
        <name val="Aptos Narrow"/>
        <scheme val="minor"/>
      </font>
      <alignment horizontal="center" vertical="bottom" textRotation="0" wrapText="1" indent="0" justifyLastLine="0" shrinkToFit="0" readingOrder="0"/>
    </dxf>
    <dxf>
      <font>
        <b val="0"/>
        <sz val="11"/>
        <name val="Aptos Narrow"/>
        <scheme val="minor"/>
      </font>
      <alignment wrapText="1"/>
    </dxf>
    <dxf>
      <font>
        <b val="0"/>
        <sz val="11"/>
        <name val="Aptos Narrow"/>
        <scheme val="minor"/>
      </font>
      <alignment wrapText="1"/>
    </dxf>
    <dxf>
      <border>
        <left/>
        <right/>
        <top/>
        <bottom/>
      </border>
    </dxf>
    <dxf>
      <font>
        <b val="0"/>
        <sz val="11"/>
        <name val="Aptos Narrow"/>
        <scheme val="minor"/>
      </font>
      <alignment wrapText="1"/>
    </dxf>
    <dxf>
      <font>
        <b val="0"/>
        <sz val="11"/>
        <name val="Aptos Narrow"/>
        <scheme val="minor"/>
      </font>
      <alignment wrapText="1"/>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FBE2D5"/>
      <color rgb="FFFFC000"/>
      <color rgb="FFE971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542925</xdr:colOff>
      <xdr:row>21</xdr:row>
      <xdr:rowOff>123825</xdr:rowOff>
    </xdr:from>
    <xdr:to>
      <xdr:col>3</xdr:col>
      <xdr:colOff>895350</xdr:colOff>
      <xdr:row>46</xdr:row>
      <xdr:rowOff>152400</xdr:rowOff>
    </xdr:to>
    <xdr:pic>
      <xdr:nvPicPr>
        <xdr:cNvPr id="8" name="Picture 1">
          <a:extLst>
            <a:ext uri="{FF2B5EF4-FFF2-40B4-BE49-F238E27FC236}">
              <a16:creationId xmlns:a16="http://schemas.microsoft.com/office/drawing/2014/main" id="{603CAFC6-8525-B223-3C12-04B04DD953A1}"/>
            </a:ext>
          </a:extLst>
        </xdr:cNvPr>
        <xdr:cNvPicPr>
          <a:picLocks noChangeAspect="1"/>
        </xdr:cNvPicPr>
      </xdr:nvPicPr>
      <xdr:blipFill>
        <a:blip xmlns:r="http://schemas.openxmlformats.org/officeDocument/2006/relationships" r:embed="rId1"/>
        <a:stretch>
          <a:fillRect/>
        </a:stretch>
      </xdr:blipFill>
      <xdr:spPr>
        <a:xfrm>
          <a:off x="542925" y="5572125"/>
          <a:ext cx="5476875" cy="5029200"/>
        </a:xfrm>
        <a:prstGeom prst="rect">
          <a:avLst/>
        </a:prstGeom>
      </xdr:spPr>
    </xdr:pic>
    <xdr:clientData/>
  </xdr:twoCellAnchor>
  <xdr:twoCellAnchor editAs="oneCell">
    <xdr:from>
      <xdr:col>4</xdr:col>
      <xdr:colOff>0</xdr:colOff>
      <xdr:row>22</xdr:row>
      <xdr:rowOff>0</xdr:rowOff>
    </xdr:from>
    <xdr:to>
      <xdr:col>5</xdr:col>
      <xdr:colOff>1933575</xdr:colOff>
      <xdr:row>33</xdr:row>
      <xdr:rowOff>28575</xdr:rowOff>
    </xdr:to>
    <xdr:pic>
      <xdr:nvPicPr>
        <xdr:cNvPr id="9" name="Picture 8">
          <a:extLst>
            <a:ext uri="{FF2B5EF4-FFF2-40B4-BE49-F238E27FC236}">
              <a16:creationId xmlns:a16="http://schemas.microsoft.com/office/drawing/2014/main" id="{0554AB45-85C3-BE80-D8EE-C349F2EA1457}"/>
            </a:ext>
            <a:ext uri="{147F2762-F138-4A5C-976F-8EAC2B608ADB}">
              <a16:predDERef xmlns:a16="http://schemas.microsoft.com/office/drawing/2014/main" pred="{603CAFC6-8525-B223-3C12-04B04DD953A1}"/>
            </a:ext>
          </a:extLst>
        </xdr:cNvPr>
        <xdr:cNvPicPr>
          <a:picLocks noChangeAspect="1"/>
        </xdr:cNvPicPr>
      </xdr:nvPicPr>
      <xdr:blipFill>
        <a:blip xmlns:r="http://schemas.openxmlformats.org/officeDocument/2006/relationships" r:embed="rId2"/>
        <a:stretch>
          <a:fillRect/>
        </a:stretch>
      </xdr:blipFill>
      <xdr:spPr>
        <a:xfrm>
          <a:off x="7334250" y="5648325"/>
          <a:ext cx="4562475" cy="2228850"/>
        </a:xfrm>
        <a:prstGeom prst="rect">
          <a:avLst/>
        </a:prstGeom>
      </xdr:spPr>
    </xdr:pic>
    <xdr:clientData/>
  </xdr:twoCellAnchor>
  <xdr:twoCellAnchor editAs="oneCell">
    <xdr:from>
      <xdr:col>4</xdr:col>
      <xdr:colOff>0</xdr:colOff>
      <xdr:row>34</xdr:row>
      <xdr:rowOff>0</xdr:rowOff>
    </xdr:from>
    <xdr:to>
      <xdr:col>5</xdr:col>
      <xdr:colOff>1933575</xdr:colOff>
      <xdr:row>53</xdr:row>
      <xdr:rowOff>85725</xdr:rowOff>
    </xdr:to>
    <xdr:pic>
      <xdr:nvPicPr>
        <xdr:cNvPr id="10" name="Picture 9">
          <a:extLst>
            <a:ext uri="{FF2B5EF4-FFF2-40B4-BE49-F238E27FC236}">
              <a16:creationId xmlns:a16="http://schemas.microsoft.com/office/drawing/2014/main" id="{D94FD66E-7F76-A52D-5458-CA8A73DD79F2}"/>
            </a:ext>
            <a:ext uri="{147F2762-F138-4A5C-976F-8EAC2B608ADB}">
              <a16:predDERef xmlns:a16="http://schemas.microsoft.com/office/drawing/2014/main" pred="{0554AB45-85C3-BE80-D8EE-C349F2EA1457}"/>
            </a:ext>
          </a:extLst>
        </xdr:cNvPr>
        <xdr:cNvPicPr>
          <a:picLocks noChangeAspect="1"/>
        </xdr:cNvPicPr>
      </xdr:nvPicPr>
      <xdr:blipFill>
        <a:blip xmlns:r="http://schemas.openxmlformats.org/officeDocument/2006/relationships" r:embed="rId3"/>
        <a:stretch>
          <a:fillRect/>
        </a:stretch>
      </xdr:blipFill>
      <xdr:spPr>
        <a:xfrm>
          <a:off x="7334250" y="8048625"/>
          <a:ext cx="4562475" cy="3886200"/>
        </a:xfrm>
        <a:prstGeom prst="rect">
          <a:avLst/>
        </a:prstGeom>
      </xdr:spPr>
    </xdr:pic>
    <xdr:clientData/>
  </xdr:twoCellAnchor>
  <xdr:twoCellAnchor editAs="oneCell">
    <xdr:from>
      <xdr:col>4</xdr:col>
      <xdr:colOff>0</xdr:colOff>
      <xdr:row>54</xdr:row>
      <xdr:rowOff>0</xdr:rowOff>
    </xdr:from>
    <xdr:to>
      <xdr:col>5</xdr:col>
      <xdr:colOff>1943100</xdr:colOff>
      <xdr:row>57</xdr:row>
      <xdr:rowOff>76200</xdr:rowOff>
    </xdr:to>
    <xdr:pic>
      <xdr:nvPicPr>
        <xdr:cNvPr id="11" name="Picture 10">
          <a:extLst>
            <a:ext uri="{FF2B5EF4-FFF2-40B4-BE49-F238E27FC236}">
              <a16:creationId xmlns:a16="http://schemas.microsoft.com/office/drawing/2014/main" id="{9EE73982-22D7-F53E-E649-E8F660CBD39C}"/>
            </a:ext>
            <a:ext uri="{147F2762-F138-4A5C-976F-8EAC2B608ADB}">
              <a16:predDERef xmlns:a16="http://schemas.microsoft.com/office/drawing/2014/main" pred="{D94FD66E-7F76-A52D-5458-CA8A73DD79F2}"/>
            </a:ext>
          </a:extLst>
        </xdr:cNvPr>
        <xdr:cNvPicPr>
          <a:picLocks noChangeAspect="1"/>
        </xdr:cNvPicPr>
      </xdr:nvPicPr>
      <xdr:blipFill>
        <a:blip xmlns:r="http://schemas.openxmlformats.org/officeDocument/2006/relationships" r:embed="rId4"/>
        <a:stretch>
          <a:fillRect/>
        </a:stretch>
      </xdr:blipFill>
      <xdr:spPr>
        <a:xfrm>
          <a:off x="7334250" y="12049125"/>
          <a:ext cx="4572000" cy="6762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Idham Hafizh" id="{799B52E5-E4DE-4700-AF3A-0B647A3A2934}" userId="S::idham.hafizh@magics.tech::19574b25-c89d-4679-9f1d-e8eed731952b" providerId="AD"/>
  <person displayName="Jonathan Vanden Berk" id="{52FD65CA-8E2C-464F-8F9E-D3EDD01CCE8C}" userId="S::jonathan.vandenberk@magics.tech::bebb3ce0-f5fe-4b3a-a1bc-1684034cb10e"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9C35A9-7F42-43B9-AF1F-372784D5DEC5}" name="Table13" displayName="Table13" ref="C4:N87" totalsRowShown="0" headerRowDxfId="14" dataDxfId="13" tableBorderDxfId="12">
  <autoFilter ref="C4:N87" xr:uid="{11129578-33B6-4BB6-B784-28C9F3ABD9B4}"/>
  <tableColumns count="12">
    <tableColumn id="1" xr3:uid="{2F93DE45-71A5-42D1-B0B4-090B80E0AFDF}" name="Label" dataDxfId="11"/>
    <tableColumn id="2" xr3:uid="{20FB2946-9ADA-4D6E-87FD-15A7C6F141AE}" name="Unit" dataDxfId="10"/>
    <tableColumn id="3" xr3:uid="{15F981EA-4FB5-4A7F-852A-92FA2D78133A}" name="Datasheet or Testplan [D/T]" dataDxfId="9"/>
    <tableColumn id="4" xr3:uid="{48D294EE-2870-497D-BA08-30902DC15E85}" name="Test level" dataDxfId="8"/>
    <tableColumn id="6" xr3:uid="{749AB30A-09E1-4AF7-8611-7E1C5CBB4895}" name="LSL" dataDxfId="7"/>
    <tableColumn id="7" xr3:uid="{E2B15C14-3E77-483F-9D3B-836DFDE24ED7}" name="Typ" dataDxfId="6"/>
    <tableColumn id="8" xr3:uid="{29A32E9B-D1FB-4D78-B604-DDF57DE14B1A}" name="USL" dataDxfId="5"/>
    <tableColumn id="9" xr3:uid="{9AFCC805-2F9B-42E1-8523-B9FA77E6959B}" name="Bin split" dataDxfId="4"/>
    <tableColumn id="10" xr3:uid="{BBE204E3-A96B-4B54-92F9-4F690CF4C673}" name="Definition" dataDxfId="3"/>
    <tableColumn id="5" xr3:uid="{8E1E6933-BA3F-432F-BF27-7CC6EFB0812E}" name="Condition (how to get raw data)" dataDxfId="2"/>
    <tableColumn id="14" xr3:uid="{C6173A95-92B0-44F4-A256-0638BCE645EA}" name="How to calculate" dataDxfId="1"/>
    <tableColumn id="11" xr3:uid="{3B2C6CC1-8217-4911-ACAD-515548B9703E}" name="Additional comment" dataDxfId="0"/>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129578-33B6-4BB6-B784-28C9F3ABD9B4}" name="Table1" displayName="Table1" ref="A4:L73" totalsRowShown="0">
  <autoFilter ref="A4:L73" xr:uid="{11129578-33B6-4BB6-B784-28C9F3ABD9B4}"/>
  <tableColumns count="12">
    <tableColumn id="1" xr3:uid="{83270D5B-4E2F-4AEB-BD1E-FACE4B818C4A}" name="Parameter"/>
    <tableColumn id="2" xr3:uid="{F7A1B6A0-8CAC-46BD-870A-2578659EB6CF}" name="Unit"/>
    <tableColumn id="3" xr3:uid="{70FF9708-1300-4643-BCF1-F14BB82A1827}" name="Datasheet or Testplan [D/T]" dataDxfId="17"/>
    <tableColumn id="4" xr3:uid="{DCFD42B1-1D7D-420C-B519-1641974E285F}" name="Test level"/>
    <tableColumn id="5" xr3:uid="{CFF2E8FB-9634-4F16-A573-4211AEE13BBC}" name="Condition"/>
    <tableColumn id="6" xr3:uid="{AEB54C32-FFD5-44A1-AABA-46C9847A8562}" name="LSL"/>
    <tableColumn id="7" xr3:uid="{546537C7-097C-40C3-A64A-E3C57590C579}" name="Typ"/>
    <tableColumn id="8" xr3:uid="{F9C84B16-6431-46CD-89AB-7E48DFC88FAF}" name="USL"/>
    <tableColumn id="9" xr3:uid="{AEA10C3E-FAF9-4774-B6FB-F4C87BEC70CA}" name="Bin split"/>
    <tableColumn id="10" xr3:uid="{2BAD0CEE-77FE-4658-8878-C937C3018C51}" name="Comments"/>
    <tableColumn id="11" xr3:uid="{783DDAA8-DFDA-48A0-B013-81A4271E617B}" name="Comments Idham" dataDxfId="16"/>
    <tableColumn id="12" xr3:uid="{61D7624D-5966-49F7-BB43-70080E510E3E}" name="Meeting conclusions" dataDxfId="15"/>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18" dT="2025-11-28T14:17:51.77" personId="{52FD65CA-8E2C-464F-8F9E-D3EDD01CCE8C}" id="{93444279-FEB1-4A2B-A491-EAA6C2EC4AFB}" done="1">
    <text>R=QE*K=QE*conv_gain/adc_gain</text>
  </threadedComment>
  <threadedComment ref="K18" dT="2025-12-03T18:42:59.03" personId="{799B52E5-E4DE-4700-AF3A-0B647A3A2934}" id="{10B0D19E-F865-41BB-838C-6DCF52BB44C4}" parentId="{93444279-FEB1-4A2B-A491-EAA6C2EC4AFB}">
    <text>correct</text>
  </threadedComment>
  <threadedComment ref="L21" dT="2025-11-28T14:21:51.21" personId="{52FD65CA-8E2C-464F-8F9E-D3EDD01CCE8C}" id="{F8D31339-15FD-4843-9DFA-8A24DA39CBA8}" done="1">
    <text xml:space="preserve">When scope is available, is this parameter measured in one of the optical test or should we add one of the Ramp gen test to the test sequence of the OT or CHAR_OT test stage? </text>
  </threadedComment>
  <threadedComment ref="L21" dT="2025-12-03T18:42:38.45" personId="{799B52E5-E4DE-4700-AF3A-0B647A3A2934}" id="{4488BA4E-6718-4AB6-A223-2DE13771B6DA}" parentId="{F8D31339-15FD-4843-9DFA-8A24DA39CBA8}">
    <text>Direct ramp slope will be measured in optical_test_processing test, when scope is detected</text>
  </threadedComment>
  <threadedComment ref="K22" dT="2025-11-28T14:23:27.62" personId="{52FD65CA-8E2C-464F-8F9E-D3EDD01CCE8C}" id="{950C91F1-95BF-4195-9A20-3D0260DE3425}" done="1">
    <text>K=conv_gain/adc_gain</text>
  </threadedComment>
  <threadedComment ref="K22" dT="2025-12-03T18:42:51.31" personId="{799B52E5-E4DE-4700-AF3A-0B647A3A2934}" id="{6305D0AB-25C1-4DA6-9397-7BD1DCCD686B}" parentId="{950C91F1-95BF-4195-9A20-3D0260DE3425}">
    <text>correct</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943B-DB86-42C8-8E8F-7EBCB1CDA60A}">
  <dimension ref="A1:P107"/>
  <sheetViews>
    <sheetView tabSelected="1" topLeftCell="A19" zoomScale="85" zoomScaleNormal="85" workbookViewId="0">
      <selection activeCell="C33" sqref="C33"/>
    </sheetView>
  </sheetViews>
  <sheetFormatPr defaultColWidth="9.140625" defaultRowHeight="15" x14ac:dyDescent="0.25"/>
  <cols>
    <col min="1" max="1" width="9.140625" style="24"/>
    <col min="2" max="2" width="20.85546875" style="31" customWidth="1"/>
    <col min="3" max="3" width="39.28515625" style="24" customWidth="1"/>
    <col min="4" max="4" width="9.140625" style="24"/>
    <col min="5" max="6" width="9.28515625" style="24" customWidth="1"/>
    <col min="7" max="7" width="9.140625" style="24" customWidth="1"/>
    <col min="8" max="8" width="9.28515625" style="24" customWidth="1"/>
    <col min="9" max="9" width="9.140625" style="24" customWidth="1"/>
    <col min="10" max="10" width="10.28515625" style="24" customWidth="1"/>
    <col min="11" max="11" width="42.140625" style="19" customWidth="1"/>
    <col min="12" max="13" width="41.5703125" style="19" customWidth="1"/>
    <col min="14" max="14" width="36.5703125" style="24" customWidth="1"/>
    <col min="15" max="16384" width="9.140625" style="24"/>
  </cols>
  <sheetData>
    <row r="1" spans="1:14" x14ac:dyDescent="0.25">
      <c r="B1" s="30"/>
      <c r="C1" s="22" t="s">
        <v>0</v>
      </c>
      <c r="D1" s="22"/>
      <c r="E1" s="22"/>
      <c r="F1" s="22"/>
      <c r="G1" s="22"/>
      <c r="H1" s="22"/>
      <c r="I1" s="22"/>
      <c r="J1" s="22"/>
      <c r="K1" s="23"/>
      <c r="L1" s="23"/>
      <c r="M1" s="23"/>
    </row>
    <row r="3" spans="1:14" x14ac:dyDescent="0.25">
      <c r="C3" s="24" t="s">
        <v>1</v>
      </c>
    </row>
    <row r="4" spans="1:14" ht="60" x14ac:dyDescent="0.25">
      <c r="A4" s="77" t="s">
        <v>390</v>
      </c>
      <c r="B4" s="32" t="s">
        <v>180</v>
      </c>
      <c r="C4" s="19" t="s">
        <v>181</v>
      </c>
      <c r="D4" s="19" t="s">
        <v>3</v>
      </c>
      <c r="E4" s="19" t="s">
        <v>4</v>
      </c>
      <c r="F4" s="19" t="s">
        <v>5</v>
      </c>
      <c r="G4" s="19" t="s">
        <v>7</v>
      </c>
      <c r="H4" s="19" t="s">
        <v>8</v>
      </c>
      <c r="I4" s="19" t="s">
        <v>9</v>
      </c>
      <c r="J4" s="19" t="s">
        <v>10</v>
      </c>
      <c r="K4" s="19" t="s">
        <v>182</v>
      </c>
      <c r="L4" s="19" t="s">
        <v>183</v>
      </c>
      <c r="M4" s="19" t="s">
        <v>184</v>
      </c>
      <c r="N4" s="19" t="s">
        <v>275</v>
      </c>
    </row>
    <row r="5" spans="1:14" s="38" customFormat="1" x14ac:dyDescent="0.25">
      <c r="B5" s="35"/>
      <c r="C5" s="43" t="s">
        <v>185</v>
      </c>
      <c r="D5" s="43"/>
      <c r="E5" s="44"/>
      <c r="F5" s="43"/>
      <c r="G5" s="43"/>
      <c r="H5" s="43"/>
      <c r="I5" s="43"/>
      <c r="J5" s="43"/>
      <c r="K5" s="43"/>
      <c r="L5" s="43"/>
      <c r="M5" s="43"/>
      <c r="N5" s="43"/>
    </row>
    <row r="6" spans="1:14" ht="30" x14ac:dyDescent="0.25">
      <c r="C6" s="19" t="s">
        <v>14</v>
      </c>
      <c r="D6" s="19" t="s">
        <v>15</v>
      </c>
      <c r="E6" s="45" t="s">
        <v>16</v>
      </c>
      <c r="F6" s="19" t="s">
        <v>16</v>
      </c>
      <c r="G6" s="19"/>
      <c r="H6" s="19" t="s">
        <v>17</v>
      </c>
      <c r="I6" s="19"/>
      <c r="J6" s="19"/>
      <c r="N6" s="19"/>
    </row>
    <row r="7" spans="1:14" x14ac:dyDescent="0.25">
      <c r="C7" s="19" t="s">
        <v>18</v>
      </c>
      <c r="D7" s="19" t="s">
        <v>19</v>
      </c>
      <c r="E7" s="45" t="s">
        <v>16</v>
      </c>
      <c r="F7" s="19" t="s">
        <v>16</v>
      </c>
      <c r="G7" s="19"/>
      <c r="H7" s="19" t="s">
        <v>20</v>
      </c>
      <c r="I7" s="19"/>
      <c r="J7" s="19"/>
      <c r="N7" s="19"/>
    </row>
    <row r="8" spans="1:14" x14ac:dyDescent="0.25">
      <c r="C8" s="19" t="s">
        <v>21</v>
      </c>
      <c r="D8" s="19" t="s">
        <v>15</v>
      </c>
      <c r="E8" s="45" t="s">
        <v>16</v>
      </c>
      <c r="F8" s="19" t="s">
        <v>16</v>
      </c>
      <c r="G8" s="19"/>
      <c r="H8" s="19">
        <v>64</v>
      </c>
      <c r="I8" s="19"/>
      <c r="J8" s="19"/>
      <c r="N8" s="19"/>
    </row>
    <row r="9" spans="1:14" x14ac:dyDescent="0.25">
      <c r="C9" s="19" t="s">
        <v>22</v>
      </c>
      <c r="D9" s="19" t="s">
        <v>23</v>
      </c>
      <c r="E9" s="45" t="s">
        <v>16</v>
      </c>
      <c r="F9" s="19" t="s">
        <v>16</v>
      </c>
      <c r="G9" s="19"/>
      <c r="H9" s="24" t="s">
        <v>24</v>
      </c>
      <c r="I9" s="19"/>
      <c r="J9" s="19"/>
      <c r="N9" s="19"/>
    </row>
    <row r="10" spans="1:14" x14ac:dyDescent="0.25">
      <c r="C10" s="19" t="s">
        <v>25</v>
      </c>
      <c r="D10" s="19" t="s">
        <v>26</v>
      </c>
      <c r="E10" s="45" t="s">
        <v>16</v>
      </c>
      <c r="F10" s="19" t="s">
        <v>16</v>
      </c>
      <c r="G10" s="46">
        <v>-0.1</v>
      </c>
      <c r="H10" s="19">
        <v>94000</v>
      </c>
      <c r="I10" s="19"/>
      <c r="J10" s="19"/>
      <c r="K10" s="19" t="s">
        <v>27</v>
      </c>
      <c r="N10" s="19"/>
    </row>
    <row r="11" spans="1:14" x14ac:dyDescent="0.25">
      <c r="C11" s="19" t="s">
        <v>78</v>
      </c>
      <c r="D11" s="19" t="s">
        <v>23</v>
      </c>
      <c r="E11" s="45" t="s">
        <v>16</v>
      </c>
      <c r="F11" s="19" t="s">
        <v>79</v>
      </c>
      <c r="G11" s="19"/>
      <c r="H11" s="24" t="s">
        <v>80</v>
      </c>
      <c r="I11" s="19"/>
      <c r="J11" s="19"/>
      <c r="N11" s="19"/>
    </row>
    <row r="12" spans="1:14" x14ac:dyDescent="0.25">
      <c r="C12" s="19" t="s">
        <v>65</v>
      </c>
      <c r="D12" s="19" t="s">
        <v>23</v>
      </c>
      <c r="E12" s="45" t="s">
        <v>16</v>
      </c>
      <c r="F12" s="19" t="s">
        <v>66</v>
      </c>
      <c r="G12" s="19"/>
      <c r="H12" s="24" t="s">
        <v>67</v>
      </c>
      <c r="I12" s="19"/>
      <c r="J12" s="19"/>
      <c r="N12" s="19"/>
    </row>
    <row r="13" spans="1:14" ht="45" x14ac:dyDescent="0.25">
      <c r="C13" s="19" t="s">
        <v>73</v>
      </c>
      <c r="D13" s="19" t="s">
        <v>71</v>
      </c>
      <c r="E13" s="45" t="s">
        <v>16</v>
      </c>
      <c r="F13" s="17" t="s">
        <v>186</v>
      </c>
      <c r="G13" s="19"/>
      <c r="H13" s="24" t="s">
        <v>75</v>
      </c>
      <c r="I13" s="19"/>
      <c r="J13" s="19"/>
      <c r="K13" s="17"/>
      <c r="L13" s="17"/>
      <c r="M13" s="17" t="s">
        <v>187</v>
      </c>
      <c r="N13" s="19"/>
    </row>
    <row r="14" spans="1:14" x14ac:dyDescent="0.25">
      <c r="C14" s="19" t="s">
        <v>68</v>
      </c>
      <c r="D14" s="19" t="s">
        <v>23</v>
      </c>
      <c r="E14" s="45" t="s">
        <v>16</v>
      </c>
      <c r="F14" s="19" t="s">
        <v>36</v>
      </c>
      <c r="G14" s="19"/>
      <c r="H14" s="24" t="s">
        <v>69</v>
      </c>
      <c r="I14" s="19"/>
      <c r="J14" s="19"/>
      <c r="N14" s="19"/>
    </row>
    <row r="15" spans="1:14" ht="30" x14ac:dyDescent="0.25">
      <c r="C15" s="19" t="s">
        <v>70</v>
      </c>
      <c r="D15" s="19" t="s">
        <v>71</v>
      </c>
      <c r="E15" s="45" t="s">
        <v>16</v>
      </c>
      <c r="F15" s="19" t="s">
        <v>16</v>
      </c>
      <c r="G15" s="19"/>
      <c r="H15" s="19" t="s">
        <v>72</v>
      </c>
      <c r="I15" s="19"/>
      <c r="J15" s="19"/>
      <c r="N15" s="19"/>
    </row>
    <row r="16" spans="1:14" x14ac:dyDescent="0.25">
      <c r="C16" s="19"/>
      <c r="D16" s="19"/>
      <c r="E16" s="47"/>
      <c r="F16" s="19"/>
      <c r="G16" s="19"/>
      <c r="H16" s="19"/>
      <c r="I16" s="19"/>
      <c r="J16" s="19"/>
      <c r="N16" s="19"/>
    </row>
    <row r="17" spans="1:16" s="38" customFormat="1" x14ac:dyDescent="0.25">
      <c r="B17" s="41"/>
      <c r="C17" s="57" t="s">
        <v>319</v>
      </c>
      <c r="D17" s="43"/>
      <c r="E17" s="44"/>
      <c r="F17" s="43"/>
      <c r="G17" s="43"/>
      <c r="H17" s="43"/>
      <c r="I17" s="43"/>
      <c r="J17" s="43"/>
      <c r="K17" s="43"/>
      <c r="L17" s="43"/>
      <c r="M17" s="43"/>
      <c r="N17" s="43"/>
    </row>
    <row r="18" spans="1:16" ht="60" x14ac:dyDescent="0.25">
      <c r="A18" s="24">
        <v>3800</v>
      </c>
      <c r="B18" s="31" t="s">
        <v>188</v>
      </c>
      <c r="C18" s="48" t="s">
        <v>189</v>
      </c>
      <c r="D18" s="19" t="s">
        <v>190</v>
      </c>
      <c r="E18" s="45" t="s">
        <v>16</v>
      </c>
      <c r="F18" s="19" t="s">
        <v>36</v>
      </c>
      <c r="G18" s="46">
        <v>-0.25</v>
      </c>
      <c r="H18" s="19">
        <v>8.9999999999999993E-3</v>
      </c>
      <c r="I18" s="46">
        <v>0.25</v>
      </c>
      <c r="J18" s="19"/>
      <c r="K18" s="84" t="s">
        <v>407</v>
      </c>
      <c r="L18" s="48" t="s">
        <v>191</v>
      </c>
      <c r="M18" s="17" t="s">
        <v>192</v>
      </c>
      <c r="N18" s="19" t="s">
        <v>23</v>
      </c>
      <c r="P18" t="s">
        <v>432</v>
      </c>
    </row>
    <row r="19" spans="1:16" ht="60" x14ac:dyDescent="0.25">
      <c r="A19" s="24">
        <v>3801</v>
      </c>
      <c r="B19" s="31" t="s">
        <v>88</v>
      </c>
      <c r="C19" s="48" t="s">
        <v>193</v>
      </c>
      <c r="D19" s="19" t="s">
        <v>89</v>
      </c>
      <c r="E19" s="47" t="s">
        <v>16</v>
      </c>
      <c r="F19" s="19" t="s">
        <v>36</v>
      </c>
      <c r="G19" s="17"/>
      <c r="H19" s="17"/>
      <c r="I19" s="17"/>
      <c r="J19" s="17"/>
      <c r="K19" s="48" t="s">
        <v>194</v>
      </c>
      <c r="L19" s="17" t="s">
        <v>333</v>
      </c>
      <c r="M19" s="17" t="s">
        <v>195</v>
      </c>
      <c r="N19" s="19" t="s">
        <v>23</v>
      </c>
      <c r="P19" t="s">
        <v>430</v>
      </c>
    </row>
    <row r="20" spans="1:16" ht="45" x14ac:dyDescent="0.25">
      <c r="A20" s="24">
        <v>3802</v>
      </c>
      <c r="B20" s="31" t="s">
        <v>196</v>
      </c>
      <c r="C20" s="48" t="s">
        <v>30</v>
      </c>
      <c r="D20" s="19" t="s">
        <v>33</v>
      </c>
      <c r="E20" s="45" t="s">
        <v>16</v>
      </c>
      <c r="F20" s="19" t="s">
        <v>32</v>
      </c>
      <c r="G20" s="46">
        <v>-0.2</v>
      </c>
      <c r="H20" s="19">
        <v>0.01</v>
      </c>
      <c r="I20" s="46">
        <v>-0.2</v>
      </c>
      <c r="J20" s="19"/>
      <c r="K20" s="48" t="s">
        <v>384</v>
      </c>
      <c r="N20" s="19" t="s">
        <v>197</v>
      </c>
    </row>
    <row r="21" spans="1:16" customFormat="1" ht="30" x14ac:dyDescent="0.25">
      <c r="A21">
        <v>3803</v>
      </c>
      <c r="B21" s="78" t="s">
        <v>198</v>
      </c>
      <c r="C21" s="1" t="s">
        <v>199</v>
      </c>
      <c r="D21" s="1" t="s">
        <v>200</v>
      </c>
      <c r="E21" s="79" t="s">
        <v>55</v>
      </c>
      <c r="F21" s="1" t="s">
        <v>36</v>
      </c>
      <c r="G21" s="80"/>
      <c r="H21" s="1"/>
      <c r="I21" s="80"/>
      <c r="J21" s="1"/>
      <c r="K21" s="1" t="s">
        <v>201</v>
      </c>
      <c r="L21" s="1" t="s">
        <v>412</v>
      </c>
      <c r="M21" s="1"/>
      <c r="N21" s="1" t="s">
        <v>23</v>
      </c>
    </row>
    <row r="22" spans="1:16" customFormat="1" ht="30" x14ac:dyDescent="0.25">
      <c r="A22">
        <v>3804</v>
      </c>
      <c r="B22" s="78" t="s">
        <v>81</v>
      </c>
      <c r="C22" s="1" t="s">
        <v>202</v>
      </c>
      <c r="D22" s="1" t="s">
        <v>82</v>
      </c>
      <c r="E22" s="81" t="s">
        <v>203</v>
      </c>
      <c r="F22" s="1" t="s">
        <v>48</v>
      </c>
      <c r="G22" s="1" t="s">
        <v>138</v>
      </c>
      <c r="H22" s="1" t="s">
        <v>138</v>
      </c>
      <c r="I22" s="1" t="s">
        <v>138</v>
      </c>
      <c r="J22" s="1"/>
      <c r="K22" s="1" t="s">
        <v>408</v>
      </c>
      <c r="L22" s="1"/>
      <c r="M22" s="1"/>
      <c r="N22" s="1" t="s">
        <v>197</v>
      </c>
    </row>
    <row r="23" spans="1:16" customFormat="1" ht="30" x14ac:dyDescent="0.25">
      <c r="A23">
        <v>3816</v>
      </c>
      <c r="B23" s="78" t="s">
        <v>204</v>
      </c>
      <c r="C23" s="1" t="s">
        <v>205</v>
      </c>
      <c r="D23" s="1" t="s">
        <v>23</v>
      </c>
      <c r="E23" s="81" t="s">
        <v>55</v>
      </c>
      <c r="F23" s="1" t="s">
        <v>36</v>
      </c>
      <c r="G23" s="1"/>
      <c r="H23" s="1"/>
      <c r="I23" s="1"/>
      <c r="J23" s="1"/>
      <c r="K23" s="1" t="s">
        <v>206</v>
      </c>
      <c r="L23" s="1"/>
      <c r="M23" s="1"/>
      <c r="N23" s="1" t="s">
        <v>207</v>
      </c>
    </row>
    <row r="24" spans="1:16" s="26" customFormat="1" ht="60" x14ac:dyDescent="0.25">
      <c r="A24">
        <v>3805</v>
      </c>
      <c r="B24" s="34" t="s">
        <v>208</v>
      </c>
      <c r="C24" s="48" t="s">
        <v>209</v>
      </c>
      <c r="D24" s="48" t="s">
        <v>26</v>
      </c>
      <c r="E24" s="49" t="s">
        <v>16</v>
      </c>
      <c r="F24" s="48" t="s">
        <v>36</v>
      </c>
      <c r="G24" s="48"/>
      <c r="H24" s="48"/>
      <c r="I24" s="48"/>
      <c r="J24" s="48"/>
      <c r="K24" s="48" t="s">
        <v>210</v>
      </c>
      <c r="L24" s="48"/>
      <c r="M24" s="83" t="s">
        <v>402</v>
      </c>
      <c r="N24" s="48" t="s">
        <v>197</v>
      </c>
    </row>
    <row r="25" spans="1:16" ht="45" x14ac:dyDescent="0.25">
      <c r="A25">
        <v>3806</v>
      </c>
      <c r="B25" s="31" t="s">
        <v>211</v>
      </c>
      <c r="C25" s="19" t="s">
        <v>212</v>
      </c>
      <c r="D25" s="19" t="s">
        <v>44</v>
      </c>
      <c r="E25" s="45" t="s">
        <v>16</v>
      </c>
      <c r="F25" s="19" t="s">
        <v>36</v>
      </c>
      <c r="G25" s="19">
        <v>48.5</v>
      </c>
      <c r="H25" s="19">
        <v>49.5</v>
      </c>
      <c r="I25" s="19">
        <v>51.5</v>
      </c>
      <c r="J25" s="19"/>
      <c r="K25" s="48" t="s">
        <v>334</v>
      </c>
      <c r="N25" s="19" t="s">
        <v>197</v>
      </c>
    </row>
    <row r="26" spans="1:16" ht="30" x14ac:dyDescent="0.25">
      <c r="A26" s="24">
        <v>3807</v>
      </c>
      <c r="B26" s="31" t="s">
        <v>213</v>
      </c>
      <c r="C26" s="19" t="s">
        <v>43</v>
      </c>
      <c r="D26" s="19" t="s">
        <v>44</v>
      </c>
      <c r="E26" s="45" t="s">
        <v>16</v>
      </c>
      <c r="F26" s="19" t="s">
        <v>36</v>
      </c>
      <c r="G26" s="19">
        <v>60</v>
      </c>
      <c r="H26" s="19">
        <v>62</v>
      </c>
      <c r="I26" s="19"/>
      <c r="J26" s="19"/>
      <c r="K26" s="48" t="s">
        <v>214</v>
      </c>
      <c r="N26" s="19" t="s">
        <v>197</v>
      </c>
    </row>
    <row r="27" spans="1:16" x14ac:dyDescent="0.25">
      <c r="C27" s="19"/>
      <c r="D27" s="19"/>
      <c r="E27" s="50"/>
      <c r="F27" s="19"/>
      <c r="G27" s="19"/>
      <c r="H27" s="19"/>
      <c r="I27" s="19"/>
      <c r="J27" s="19"/>
      <c r="N27" s="19"/>
    </row>
    <row r="28" spans="1:16" s="38" customFormat="1" x14ac:dyDescent="0.25">
      <c r="B28" s="41"/>
      <c r="C28" s="57" t="s">
        <v>320</v>
      </c>
      <c r="D28" s="43"/>
      <c r="E28" s="44"/>
      <c r="F28" s="43"/>
      <c r="G28" s="43"/>
      <c r="H28" s="43"/>
      <c r="I28" s="43"/>
      <c r="J28" s="43"/>
      <c r="K28" s="43"/>
      <c r="L28" s="43"/>
      <c r="M28" s="43"/>
      <c r="N28" s="51"/>
    </row>
    <row r="29" spans="1:16" customFormat="1" x14ac:dyDescent="0.25">
      <c r="A29">
        <v>3810</v>
      </c>
      <c r="B29" s="78" t="s">
        <v>215</v>
      </c>
      <c r="C29" s="1" t="s">
        <v>216</v>
      </c>
      <c r="D29" s="1" t="s">
        <v>217</v>
      </c>
      <c r="E29" s="79" t="s">
        <v>55</v>
      </c>
      <c r="F29" s="1" t="s">
        <v>36</v>
      </c>
      <c r="G29" s="14"/>
      <c r="H29" s="14"/>
      <c r="I29" s="14"/>
      <c r="J29" s="14"/>
      <c r="K29" s="1" t="s">
        <v>218</v>
      </c>
      <c r="L29" s="1" t="s">
        <v>219</v>
      </c>
      <c r="M29" s="1"/>
      <c r="N29" s="14" t="s">
        <v>23</v>
      </c>
    </row>
    <row r="30" spans="1:16" customFormat="1" x14ac:dyDescent="0.25">
      <c r="A30">
        <v>3811</v>
      </c>
      <c r="B30" s="78" t="s">
        <v>220</v>
      </c>
      <c r="C30" s="1" t="s">
        <v>221</v>
      </c>
      <c r="D30" s="1" t="s">
        <v>217</v>
      </c>
      <c r="E30" s="79" t="s">
        <v>55</v>
      </c>
      <c r="F30" s="1" t="s">
        <v>36</v>
      </c>
      <c r="G30" s="14"/>
      <c r="H30" s="14"/>
      <c r="I30" s="14"/>
      <c r="J30" s="14"/>
      <c r="K30" s="1" t="s">
        <v>222</v>
      </c>
      <c r="L30" s="1" t="s">
        <v>219</v>
      </c>
      <c r="M30" s="1"/>
      <c r="N30" s="14" t="s">
        <v>23</v>
      </c>
    </row>
    <row r="31" spans="1:16" customFormat="1" ht="45" x14ac:dyDescent="0.25">
      <c r="A31">
        <v>3814</v>
      </c>
      <c r="B31" s="78" t="s">
        <v>223</v>
      </c>
      <c r="C31" s="1" t="s">
        <v>224</v>
      </c>
      <c r="D31" s="1" t="s">
        <v>26</v>
      </c>
      <c r="E31" s="79" t="s">
        <v>55</v>
      </c>
      <c r="F31" s="1" t="s">
        <v>36</v>
      </c>
      <c r="G31" s="14"/>
      <c r="H31" s="14"/>
      <c r="I31" s="14"/>
      <c r="J31" s="14"/>
      <c r="K31" s="1" t="s">
        <v>225</v>
      </c>
      <c r="L31" s="14"/>
      <c r="M31" s="14"/>
      <c r="N31" s="1" t="s">
        <v>280</v>
      </c>
    </row>
    <row r="32" spans="1:16" ht="60" x14ac:dyDescent="0.25">
      <c r="A32" s="24">
        <v>3812</v>
      </c>
      <c r="B32" s="31" t="s">
        <v>226</v>
      </c>
      <c r="C32" s="82" t="s">
        <v>227</v>
      </c>
      <c r="D32" s="19" t="s">
        <v>26</v>
      </c>
      <c r="E32" s="45" t="s">
        <v>16</v>
      </c>
      <c r="F32" s="19" t="s">
        <v>36</v>
      </c>
      <c r="G32" s="19"/>
      <c r="H32" s="19">
        <v>66</v>
      </c>
      <c r="I32" s="19">
        <v>120</v>
      </c>
      <c r="J32" s="19"/>
      <c r="K32" s="82" t="s">
        <v>435</v>
      </c>
      <c r="M32" s="83" t="s">
        <v>437</v>
      </c>
      <c r="N32" s="19" t="s">
        <v>280</v>
      </c>
    </row>
    <row r="33" spans="1:14" s="93" customFormat="1" ht="30" x14ac:dyDescent="0.25">
      <c r="A33" s="93">
        <v>3834</v>
      </c>
      <c r="B33" s="97" t="s">
        <v>413</v>
      </c>
      <c r="C33" s="82" t="s">
        <v>414</v>
      </c>
      <c r="D33" s="82" t="s">
        <v>26</v>
      </c>
      <c r="E33" s="96" t="s">
        <v>55</v>
      </c>
      <c r="F33" s="82" t="s">
        <v>36</v>
      </c>
      <c r="G33" s="82"/>
      <c r="H33" s="82"/>
      <c r="I33" s="82"/>
      <c r="J33" s="82"/>
      <c r="K33" s="82" t="s">
        <v>415</v>
      </c>
      <c r="L33" s="82"/>
      <c r="M33" s="82"/>
      <c r="N33" s="82" t="s">
        <v>280</v>
      </c>
    </row>
    <row r="34" spans="1:14" ht="30" x14ac:dyDescent="0.25">
      <c r="A34" s="24">
        <v>3813</v>
      </c>
      <c r="B34" s="31" t="s">
        <v>228</v>
      </c>
      <c r="C34" s="19" t="s">
        <v>229</v>
      </c>
      <c r="D34" s="19" t="s">
        <v>230</v>
      </c>
      <c r="E34" s="45" t="s">
        <v>16</v>
      </c>
      <c r="F34" s="19" t="s">
        <v>48</v>
      </c>
      <c r="G34" s="19"/>
      <c r="H34" s="1">
        <v>0.05</v>
      </c>
      <c r="I34" s="19"/>
      <c r="J34" s="19"/>
      <c r="K34" s="1" t="s">
        <v>410</v>
      </c>
      <c r="L34" s="1" t="s">
        <v>411</v>
      </c>
      <c r="M34" s="1"/>
      <c r="N34" s="19" t="s">
        <v>280</v>
      </c>
    </row>
    <row r="35" spans="1:14" s="93" customFormat="1" x14ac:dyDescent="0.25">
      <c r="A35" s="93">
        <v>3833</v>
      </c>
      <c r="B35" s="97" t="s">
        <v>404</v>
      </c>
      <c r="C35" s="82" t="s">
        <v>406</v>
      </c>
      <c r="D35" s="82" t="s">
        <v>405</v>
      </c>
      <c r="E35" s="96" t="s">
        <v>55</v>
      </c>
      <c r="F35" s="82" t="s">
        <v>36</v>
      </c>
      <c r="G35" s="82"/>
      <c r="H35" s="82"/>
      <c r="I35" s="82"/>
      <c r="J35" s="82"/>
      <c r="K35" s="82" t="s">
        <v>231</v>
      </c>
      <c r="L35" s="82" t="s">
        <v>49</v>
      </c>
      <c r="M35" s="82"/>
      <c r="N35" s="82" t="s">
        <v>23</v>
      </c>
    </row>
    <row r="36" spans="1:14" s="93" customFormat="1" ht="30" x14ac:dyDescent="0.25">
      <c r="A36" s="93">
        <v>3835</v>
      </c>
      <c r="B36" s="97" t="s">
        <v>434</v>
      </c>
      <c r="C36" s="82" t="s">
        <v>403</v>
      </c>
      <c r="D36" s="82" t="s">
        <v>217</v>
      </c>
      <c r="E36" s="96" t="s">
        <v>55</v>
      </c>
      <c r="F36" s="82" t="s">
        <v>36</v>
      </c>
      <c r="G36" s="82"/>
      <c r="H36" s="82"/>
      <c r="I36" s="82"/>
      <c r="J36" s="82"/>
      <c r="K36" s="82" t="s">
        <v>409</v>
      </c>
      <c r="L36" s="82"/>
      <c r="M36" s="83" t="s">
        <v>416</v>
      </c>
      <c r="N36" s="82"/>
    </row>
    <row r="37" spans="1:14" s="27" customFormat="1" ht="30" x14ac:dyDescent="0.25">
      <c r="A37" s="27">
        <v>3832</v>
      </c>
      <c r="B37" s="36" t="s">
        <v>391</v>
      </c>
      <c r="C37" s="20" t="s">
        <v>232</v>
      </c>
      <c r="D37" s="20" t="s">
        <v>233</v>
      </c>
      <c r="E37" s="21" t="s">
        <v>16</v>
      </c>
      <c r="F37" s="20" t="s">
        <v>36</v>
      </c>
      <c r="G37" s="20"/>
      <c r="H37" s="20"/>
      <c r="I37" s="20"/>
      <c r="J37" s="20"/>
      <c r="K37" s="20" t="s">
        <v>234</v>
      </c>
      <c r="L37" s="20" t="s">
        <v>235</v>
      </c>
      <c r="M37" s="20"/>
      <c r="N37" s="1" t="s">
        <v>23</v>
      </c>
    </row>
    <row r="38" spans="1:14" ht="45" x14ac:dyDescent="0.25">
      <c r="A38">
        <v>3815</v>
      </c>
      <c r="B38" s="78" t="s">
        <v>162</v>
      </c>
      <c r="C38" s="1" t="s">
        <v>236</v>
      </c>
      <c r="D38" s="1" t="s">
        <v>230</v>
      </c>
      <c r="E38" s="86" t="s">
        <v>16</v>
      </c>
      <c r="F38" s="1" t="s">
        <v>48</v>
      </c>
      <c r="G38" s="1"/>
      <c r="H38" s="1">
        <v>42.8</v>
      </c>
      <c r="I38" s="1"/>
      <c r="J38" s="1"/>
      <c r="K38" s="1" t="s">
        <v>328</v>
      </c>
      <c r="L38" s="1" t="s">
        <v>426</v>
      </c>
      <c r="M38" s="17" t="s">
        <v>277</v>
      </c>
      <c r="N38" s="19" t="s">
        <v>280</v>
      </c>
    </row>
    <row r="39" spans="1:14" ht="45" x14ac:dyDescent="0.25">
      <c r="A39">
        <v>3826</v>
      </c>
      <c r="B39" s="87" t="s">
        <v>283</v>
      </c>
      <c r="C39" s="88" t="s">
        <v>311</v>
      </c>
      <c r="D39" s="88" t="s">
        <v>89</v>
      </c>
      <c r="E39" s="81" t="s">
        <v>55</v>
      </c>
      <c r="F39" s="1" t="s">
        <v>105</v>
      </c>
      <c r="G39" s="1"/>
      <c r="H39" s="1"/>
      <c r="I39" s="1" t="s">
        <v>138</v>
      </c>
      <c r="J39" s="1"/>
      <c r="K39" s="1" t="s">
        <v>276</v>
      </c>
      <c r="L39" s="1" t="s">
        <v>49</v>
      </c>
      <c r="M39" s="1" t="s">
        <v>427</v>
      </c>
      <c r="N39" s="1" t="s">
        <v>279</v>
      </c>
    </row>
    <row r="40" spans="1:14" x14ac:dyDescent="0.25">
      <c r="A40">
        <v>3827</v>
      </c>
      <c r="B40" s="87" t="s">
        <v>284</v>
      </c>
      <c r="C40" s="88" t="s">
        <v>312</v>
      </c>
      <c r="D40" s="88" t="s">
        <v>89</v>
      </c>
      <c r="E40" s="81" t="s">
        <v>55</v>
      </c>
      <c r="F40" s="1" t="s">
        <v>105</v>
      </c>
      <c r="G40" s="1"/>
      <c r="H40" s="1"/>
      <c r="I40" s="1" t="s">
        <v>138</v>
      </c>
      <c r="J40" s="1"/>
      <c r="K40" s="1"/>
      <c r="L40" s="1" t="s">
        <v>49</v>
      </c>
      <c r="M40" s="1" t="s">
        <v>428</v>
      </c>
      <c r="N40" s="1" t="s">
        <v>23</v>
      </c>
    </row>
    <row r="41" spans="1:14" x14ac:dyDescent="0.25">
      <c r="A41">
        <v>3828</v>
      </c>
      <c r="B41" s="87" t="s">
        <v>285</v>
      </c>
      <c r="C41" s="88" t="s">
        <v>313</v>
      </c>
      <c r="D41" s="88" t="s">
        <v>89</v>
      </c>
      <c r="E41" s="81" t="s">
        <v>55</v>
      </c>
      <c r="F41" s="1" t="s">
        <v>105</v>
      </c>
      <c r="G41" s="1"/>
      <c r="H41" s="1"/>
      <c r="I41" s="1" t="s">
        <v>138</v>
      </c>
      <c r="J41" s="1"/>
      <c r="K41" s="1"/>
      <c r="L41" s="1" t="s">
        <v>49</v>
      </c>
      <c r="M41" s="1" t="s">
        <v>429</v>
      </c>
      <c r="N41" s="1" t="s">
        <v>23</v>
      </c>
    </row>
    <row r="42" spans="1:14" ht="45" x14ac:dyDescent="0.25">
      <c r="A42">
        <v>3829</v>
      </c>
      <c r="B42" s="87" t="s">
        <v>282</v>
      </c>
      <c r="C42" s="88" t="s">
        <v>314</v>
      </c>
      <c r="D42" s="88" t="s">
        <v>89</v>
      </c>
      <c r="E42" s="81" t="s">
        <v>55</v>
      </c>
      <c r="F42" s="1" t="s">
        <v>105</v>
      </c>
      <c r="G42" s="1"/>
      <c r="H42" s="1"/>
      <c r="I42" s="1" t="s">
        <v>138</v>
      </c>
      <c r="J42" s="1"/>
      <c r="K42" s="1" t="s">
        <v>335</v>
      </c>
      <c r="L42" s="1" t="s">
        <v>49</v>
      </c>
      <c r="M42" s="1" t="s">
        <v>310</v>
      </c>
      <c r="N42" s="1" t="s">
        <v>23</v>
      </c>
    </row>
    <row r="43" spans="1:14" ht="30" x14ac:dyDescent="0.25">
      <c r="A43">
        <v>3830</v>
      </c>
      <c r="B43" s="87" t="s">
        <v>281</v>
      </c>
      <c r="C43" s="88" t="s">
        <v>315</v>
      </c>
      <c r="D43" s="88" t="s">
        <v>89</v>
      </c>
      <c r="E43" s="81" t="s">
        <v>55</v>
      </c>
      <c r="F43" s="1" t="s">
        <v>105</v>
      </c>
      <c r="G43" s="1"/>
      <c r="H43" s="1"/>
      <c r="I43" s="1" t="s">
        <v>138</v>
      </c>
      <c r="J43" s="1"/>
      <c r="K43" s="1" t="s">
        <v>278</v>
      </c>
      <c r="L43" s="1" t="s">
        <v>49</v>
      </c>
      <c r="M43" s="1"/>
      <c r="N43" s="1" t="s">
        <v>23</v>
      </c>
    </row>
    <row r="44" spans="1:14" x14ac:dyDescent="0.25">
      <c r="C44" s="19"/>
      <c r="D44" s="19"/>
      <c r="E44" s="47"/>
      <c r="F44" s="19"/>
      <c r="G44" s="19"/>
      <c r="H44" s="19"/>
      <c r="I44" s="19"/>
      <c r="J44" s="19"/>
      <c r="N44" s="19"/>
    </row>
    <row r="45" spans="1:14" s="38" customFormat="1" x14ac:dyDescent="0.25">
      <c r="B45" s="41"/>
      <c r="C45" s="57" t="s">
        <v>321</v>
      </c>
      <c r="D45" s="43"/>
      <c r="E45" s="44"/>
      <c r="F45" s="43"/>
      <c r="G45" s="43"/>
      <c r="H45" s="43"/>
      <c r="I45" s="43"/>
      <c r="J45" s="43"/>
      <c r="K45" s="43"/>
      <c r="L45" s="43"/>
      <c r="M45" s="43"/>
      <c r="N45" s="43"/>
    </row>
    <row r="46" spans="1:14" customFormat="1" ht="60" x14ac:dyDescent="0.25">
      <c r="A46">
        <v>3500</v>
      </c>
      <c r="B46" s="87" t="s">
        <v>237</v>
      </c>
      <c r="C46" s="88" t="s">
        <v>330</v>
      </c>
      <c r="D46" s="88" t="s">
        <v>238</v>
      </c>
      <c r="E46" s="81" t="s">
        <v>55</v>
      </c>
      <c r="F46" s="1" t="s">
        <v>105</v>
      </c>
      <c r="G46" s="1"/>
      <c r="H46" s="1"/>
      <c r="I46" s="1">
        <v>50</v>
      </c>
      <c r="J46" s="1" t="s">
        <v>107</v>
      </c>
      <c r="K46" s="1" t="s">
        <v>329</v>
      </c>
      <c r="L46" s="1" t="s">
        <v>239</v>
      </c>
      <c r="M46" s="1" t="s">
        <v>240</v>
      </c>
      <c r="N46" s="89" t="s">
        <v>438</v>
      </c>
    </row>
    <row r="47" spans="1:14" s="93" customFormat="1" x14ac:dyDescent="0.25">
      <c r="A47" s="93">
        <v>3511</v>
      </c>
      <c r="B47" s="94" t="s">
        <v>395</v>
      </c>
      <c r="C47" s="95" t="s">
        <v>393</v>
      </c>
      <c r="D47" s="95" t="s">
        <v>433</v>
      </c>
      <c r="E47" s="96" t="s">
        <v>55</v>
      </c>
      <c r="F47" s="82" t="s">
        <v>105</v>
      </c>
      <c r="G47" s="82"/>
      <c r="H47" s="82"/>
      <c r="I47" s="82" t="s">
        <v>138</v>
      </c>
      <c r="J47" s="82"/>
      <c r="K47" s="82"/>
      <c r="L47" s="82"/>
      <c r="M47" s="82"/>
      <c r="N47" s="82" t="s">
        <v>23</v>
      </c>
    </row>
    <row r="48" spans="1:14" s="93" customFormat="1" x14ac:dyDescent="0.25">
      <c r="A48" s="93">
        <v>3512</v>
      </c>
      <c r="B48" s="94" t="s">
        <v>396</v>
      </c>
      <c r="C48" s="95" t="s">
        <v>394</v>
      </c>
      <c r="D48" s="95" t="s">
        <v>433</v>
      </c>
      <c r="E48" s="96" t="s">
        <v>55</v>
      </c>
      <c r="F48" s="82" t="s">
        <v>105</v>
      </c>
      <c r="G48" s="82"/>
      <c r="H48" s="82"/>
      <c r="I48" s="82" t="s">
        <v>138</v>
      </c>
      <c r="J48" s="82"/>
      <c r="K48" s="82"/>
      <c r="L48" s="82"/>
      <c r="M48" s="82"/>
      <c r="N48" s="82" t="s">
        <v>23</v>
      </c>
    </row>
    <row r="49" spans="1:14" s="15" customFormat="1" ht="45" x14ac:dyDescent="0.25">
      <c r="A49">
        <v>3501</v>
      </c>
      <c r="B49" s="87" t="s">
        <v>241</v>
      </c>
      <c r="C49" s="88" t="s">
        <v>331</v>
      </c>
      <c r="D49" s="88" t="s">
        <v>242</v>
      </c>
      <c r="E49" s="81" t="s">
        <v>55</v>
      </c>
      <c r="F49" s="1" t="s">
        <v>105</v>
      </c>
      <c r="G49" s="1"/>
      <c r="H49" s="1"/>
      <c r="I49" s="1" t="s">
        <v>23</v>
      </c>
      <c r="J49" s="1"/>
      <c r="K49" s="1"/>
      <c r="L49" s="1"/>
      <c r="M49" s="88" t="s">
        <v>425</v>
      </c>
      <c r="N49" s="1" t="s">
        <v>23</v>
      </c>
    </row>
    <row r="50" spans="1:14" s="15" customFormat="1" ht="45" x14ac:dyDescent="0.25">
      <c r="A50">
        <v>3502</v>
      </c>
      <c r="B50" s="87" t="s">
        <v>243</v>
      </c>
      <c r="C50" s="88" t="s">
        <v>332</v>
      </c>
      <c r="D50" s="88" t="s">
        <v>244</v>
      </c>
      <c r="E50" s="81" t="s">
        <v>55</v>
      </c>
      <c r="F50" s="1" t="s">
        <v>105</v>
      </c>
      <c r="G50" s="1"/>
      <c r="H50" s="1"/>
      <c r="I50" s="1" t="s">
        <v>23</v>
      </c>
      <c r="J50" s="1"/>
      <c r="K50" s="1"/>
      <c r="L50" s="1"/>
      <c r="M50" s="88" t="s">
        <v>425</v>
      </c>
      <c r="N50" s="1" t="s">
        <v>23</v>
      </c>
    </row>
    <row r="51" spans="1:14" s="15" customFormat="1" x14ac:dyDescent="0.25">
      <c r="A51"/>
      <c r="B51" s="87"/>
      <c r="C51" s="88"/>
      <c r="D51" s="88"/>
      <c r="E51" s="81"/>
      <c r="F51" s="1"/>
      <c r="G51" s="1"/>
      <c r="H51" s="1"/>
      <c r="I51" s="1"/>
      <c r="J51" s="1"/>
      <c r="K51" s="1"/>
      <c r="L51" s="1"/>
      <c r="M51" s="1"/>
      <c r="N51" s="1"/>
    </row>
    <row r="52" spans="1:14" s="15" customFormat="1" ht="75" x14ac:dyDescent="0.25">
      <c r="A52">
        <v>3503</v>
      </c>
      <c r="B52" s="87" t="s">
        <v>245</v>
      </c>
      <c r="C52" s="88" t="s">
        <v>246</v>
      </c>
      <c r="D52" s="88" t="s">
        <v>238</v>
      </c>
      <c r="E52" s="81" t="s">
        <v>55</v>
      </c>
      <c r="F52" s="1" t="s">
        <v>105</v>
      </c>
      <c r="G52" s="1"/>
      <c r="H52" s="1"/>
      <c r="I52" s="1">
        <v>50</v>
      </c>
      <c r="J52" s="1" t="s">
        <v>107</v>
      </c>
      <c r="K52" s="1" t="s">
        <v>247</v>
      </c>
      <c r="L52" s="1" t="s">
        <v>248</v>
      </c>
      <c r="M52" s="1" t="s">
        <v>249</v>
      </c>
      <c r="N52" s="89" t="s">
        <v>439</v>
      </c>
    </row>
    <row r="53" spans="1:14" s="93" customFormat="1" x14ac:dyDescent="0.25">
      <c r="A53" s="93">
        <v>3513</v>
      </c>
      <c r="B53" s="94" t="s">
        <v>397</v>
      </c>
      <c r="C53" s="95" t="s">
        <v>399</v>
      </c>
      <c r="D53" s="95" t="s">
        <v>433</v>
      </c>
      <c r="E53" s="96" t="s">
        <v>55</v>
      </c>
      <c r="F53" s="82" t="s">
        <v>105</v>
      </c>
      <c r="G53" s="82"/>
      <c r="H53" s="82"/>
      <c r="I53" s="82" t="s">
        <v>138</v>
      </c>
      <c r="J53" s="82"/>
      <c r="K53" s="82"/>
      <c r="L53" s="82"/>
      <c r="M53" s="82"/>
      <c r="N53" s="82" t="s">
        <v>23</v>
      </c>
    </row>
    <row r="54" spans="1:14" s="93" customFormat="1" x14ac:dyDescent="0.25">
      <c r="A54" s="93">
        <v>3514</v>
      </c>
      <c r="B54" s="94" t="s">
        <v>398</v>
      </c>
      <c r="C54" s="95" t="s">
        <v>400</v>
      </c>
      <c r="D54" s="95" t="s">
        <v>433</v>
      </c>
      <c r="E54" s="96" t="s">
        <v>55</v>
      </c>
      <c r="F54" s="82" t="s">
        <v>105</v>
      </c>
      <c r="G54" s="82"/>
      <c r="H54" s="82"/>
      <c r="I54" s="82" t="s">
        <v>138</v>
      </c>
      <c r="J54" s="82"/>
      <c r="K54" s="82"/>
      <c r="L54" s="82"/>
      <c r="M54" s="82"/>
      <c r="N54" s="82" t="s">
        <v>23</v>
      </c>
    </row>
    <row r="55" spans="1:14" customFormat="1" ht="45" x14ac:dyDescent="0.25">
      <c r="A55">
        <v>3504</v>
      </c>
      <c r="B55" s="87" t="s">
        <v>250</v>
      </c>
      <c r="C55" s="88" t="s">
        <v>251</v>
      </c>
      <c r="D55" s="88" t="s">
        <v>242</v>
      </c>
      <c r="E55" s="81" t="s">
        <v>55</v>
      </c>
      <c r="F55" s="1" t="s">
        <v>105</v>
      </c>
      <c r="G55" s="1"/>
      <c r="H55" s="1"/>
      <c r="I55" s="1" t="s">
        <v>23</v>
      </c>
      <c r="J55" s="1"/>
      <c r="K55" s="1"/>
      <c r="L55" s="1"/>
      <c r="M55" s="88" t="s">
        <v>252</v>
      </c>
      <c r="N55" s="1" t="s">
        <v>23</v>
      </c>
    </row>
    <row r="56" spans="1:14" customFormat="1" ht="45" x14ac:dyDescent="0.25">
      <c r="A56">
        <v>3505</v>
      </c>
      <c r="B56" s="87" t="s">
        <v>253</v>
      </c>
      <c r="C56" s="88" t="s">
        <v>254</v>
      </c>
      <c r="D56" s="88" t="s">
        <v>244</v>
      </c>
      <c r="E56" s="81" t="s">
        <v>55</v>
      </c>
      <c r="F56" s="1" t="s">
        <v>105</v>
      </c>
      <c r="G56" s="1"/>
      <c r="H56" s="1"/>
      <c r="I56" s="1" t="s">
        <v>23</v>
      </c>
      <c r="J56" s="1"/>
      <c r="K56" s="1"/>
      <c r="L56" s="1"/>
      <c r="M56" s="88" t="s">
        <v>255</v>
      </c>
      <c r="N56" s="1" t="s">
        <v>23</v>
      </c>
    </row>
    <row r="57" spans="1:14" customFormat="1" x14ac:dyDescent="0.25">
      <c r="A57">
        <v>3506</v>
      </c>
      <c r="B57" s="78" t="s">
        <v>256</v>
      </c>
      <c r="C57" s="1" t="s">
        <v>257</v>
      </c>
      <c r="D57" s="88" t="s">
        <v>244</v>
      </c>
      <c r="E57" s="81" t="s">
        <v>55</v>
      </c>
      <c r="F57" s="1" t="s">
        <v>105</v>
      </c>
      <c r="G57" s="1"/>
      <c r="H57" s="1"/>
      <c r="I57" s="1">
        <v>5</v>
      </c>
      <c r="J57" s="1" t="s">
        <v>107</v>
      </c>
      <c r="K57" s="1" t="s">
        <v>258</v>
      </c>
      <c r="L57" s="1"/>
      <c r="M57" s="1"/>
      <c r="N57" s="1" t="s">
        <v>23</v>
      </c>
    </row>
    <row r="58" spans="1:14" customFormat="1" x14ac:dyDescent="0.25">
      <c r="B58" s="78"/>
      <c r="C58" s="1"/>
      <c r="D58" s="1"/>
      <c r="E58" s="81"/>
      <c r="F58" s="1"/>
      <c r="G58" s="1"/>
      <c r="H58" s="1"/>
      <c r="I58" s="1">
        <v>0</v>
      </c>
      <c r="J58" s="1" t="s">
        <v>110</v>
      </c>
      <c r="K58" s="1"/>
      <c r="L58" s="1"/>
      <c r="M58" s="1"/>
      <c r="N58" s="1"/>
    </row>
    <row r="59" spans="1:14" customFormat="1" x14ac:dyDescent="0.25">
      <c r="A59">
        <v>3507</v>
      </c>
      <c r="B59" s="78" t="s">
        <v>259</v>
      </c>
      <c r="C59" s="1" t="s">
        <v>260</v>
      </c>
      <c r="D59" s="88" t="s">
        <v>242</v>
      </c>
      <c r="E59" s="81" t="s">
        <v>55</v>
      </c>
      <c r="F59" s="1" t="s">
        <v>105</v>
      </c>
      <c r="G59" s="1"/>
      <c r="H59" s="1"/>
      <c r="I59" s="1">
        <v>5</v>
      </c>
      <c r="J59" s="1" t="s">
        <v>107</v>
      </c>
      <c r="K59" s="1" t="s">
        <v>261</v>
      </c>
      <c r="L59" s="1"/>
      <c r="M59" s="1"/>
      <c r="N59" s="1" t="s">
        <v>23</v>
      </c>
    </row>
    <row r="60" spans="1:14" customFormat="1" x14ac:dyDescent="0.25">
      <c r="B60" s="78"/>
      <c r="C60" s="1"/>
      <c r="D60" s="1"/>
      <c r="E60" s="81"/>
      <c r="F60" s="1"/>
      <c r="G60" s="1"/>
      <c r="H60" s="1"/>
      <c r="I60" s="1">
        <v>0</v>
      </c>
      <c r="J60" s="1" t="s">
        <v>110</v>
      </c>
      <c r="K60" s="1"/>
      <c r="L60" s="1"/>
      <c r="M60" s="1"/>
      <c r="N60" s="1"/>
    </row>
    <row r="61" spans="1:14" customFormat="1" ht="30" x14ac:dyDescent="0.25">
      <c r="A61">
        <v>3508</v>
      </c>
      <c r="B61" s="78" t="s">
        <v>262</v>
      </c>
      <c r="C61" s="1" t="s">
        <v>132</v>
      </c>
      <c r="D61" s="1" t="s">
        <v>340</v>
      </c>
      <c r="E61" s="81" t="s">
        <v>55</v>
      </c>
      <c r="F61" s="1" t="s">
        <v>105</v>
      </c>
      <c r="G61" s="1">
        <v>5</v>
      </c>
      <c r="H61" s="1"/>
      <c r="I61" s="1"/>
      <c r="J61" s="1" t="s">
        <v>107</v>
      </c>
      <c r="K61" s="1"/>
      <c r="L61" s="1"/>
      <c r="M61" s="1" t="s">
        <v>263</v>
      </c>
      <c r="N61" s="1" t="s">
        <v>23</v>
      </c>
    </row>
    <row r="62" spans="1:14" customFormat="1" ht="30" x14ac:dyDescent="0.25">
      <c r="A62">
        <v>3509</v>
      </c>
      <c r="B62" s="78" t="s">
        <v>264</v>
      </c>
      <c r="C62" s="1" t="s">
        <v>134</v>
      </c>
      <c r="D62" s="1" t="s">
        <v>341</v>
      </c>
      <c r="E62" s="81" t="s">
        <v>55</v>
      </c>
      <c r="F62" s="1" t="s">
        <v>105</v>
      </c>
      <c r="G62" s="1">
        <v>5</v>
      </c>
      <c r="H62" s="1"/>
      <c r="I62" s="1"/>
      <c r="J62" s="1" t="s">
        <v>107</v>
      </c>
      <c r="K62" s="1"/>
      <c r="L62" s="1"/>
      <c r="M62" s="1" t="s">
        <v>265</v>
      </c>
      <c r="N62" s="1" t="s">
        <v>23</v>
      </c>
    </row>
    <row r="63" spans="1:14" s="28" customFormat="1" x14ac:dyDescent="0.25">
      <c r="A63" s="24" t="s">
        <v>431</v>
      </c>
      <c r="B63" s="37"/>
      <c r="C63" s="16"/>
      <c r="D63" s="16"/>
      <c r="E63" s="42"/>
      <c r="F63" s="16"/>
      <c r="G63" s="16"/>
      <c r="H63" s="16"/>
      <c r="I63" s="16"/>
      <c r="J63" s="16"/>
      <c r="K63" s="16"/>
      <c r="L63" s="16"/>
      <c r="M63" s="16"/>
      <c r="N63" s="17"/>
    </row>
    <row r="64" spans="1:14" s="38" customFormat="1" x14ac:dyDescent="0.25">
      <c r="B64" s="41"/>
      <c r="C64" s="57" t="s">
        <v>322</v>
      </c>
      <c r="D64" s="43"/>
      <c r="E64" s="44"/>
      <c r="F64" s="43"/>
      <c r="G64" s="43"/>
      <c r="H64" s="43"/>
      <c r="I64" s="43"/>
      <c r="J64" s="43"/>
      <c r="K64" s="43"/>
      <c r="L64" s="43"/>
      <c r="M64" s="43"/>
      <c r="N64" s="52"/>
    </row>
    <row r="65" spans="1:14" s="15" customFormat="1" ht="75" x14ac:dyDescent="0.25">
      <c r="A65">
        <v>3808</v>
      </c>
      <c r="B65" s="78" t="s">
        <v>266</v>
      </c>
      <c r="C65" s="1" t="s">
        <v>307</v>
      </c>
      <c r="D65" s="1" t="s">
        <v>26</v>
      </c>
      <c r="E65" s="86" t="s">
        <v>16</v>
      </c>
      <c r="F65" s="1" t="s">
        <v>48</v>
      </c>
      <c r="G65" s="1"/>
      <c r="H65" s="1">
        <v>587.20000000000005</v>
      </c>
      <c r="I65" s="1"/>
      <c r="J65" s="1"/>
      <c r="K65" s="1" t="s">
        <v>267</v>
      </c>
      <c r="L65" s="1" t="s">
        <v>300</v>
      </c>
      <c r="M65" s="1" t="s">
        <v>301</v>
      </c>
      <c r="N65" s="1" t="s">
        <v>299</v>
      </c>
    </row>
    <row r="66" spans="1:14" s="15" customFormat="1" ht="30" x14ac:dyDescent="0.25">
      <c r="A66">
        <v>3822</v>
      </c>
      <c r="B66" s="78" t="s">
        <v>286</v>
      </c>
      <c r="C66" s="1" t="s">
        <v>291</v>
      </c>
      <c r="D66" s="1" t="s">
        <v>26</v>
      </c>
      <c r="E66" s="81" t="s">
        <v>55</v>
      </c>
      <c r="F66" s="1" t="s">
        <v>327</v>
      </c>
      <c r="G66" s="1"/>
      <c r="H66" s="1"/>
      <c r="I66" s="1"/>
      <c r="J66" s="1"/>
      <c r="K66" s="1" t="s">
        <v>316</v>
      </c>
      <c r="L66" s="1"/>
      <c r="M66" s="1"/>
      <c r="N66" s="1" t="s">
        <v>299</v>
      </c>
    </row>
    <row r="67" spans="1:14" s="15" customFormat="1" x14ac:dyDescent="0.25">
      <c r="A67">
        <v>3821</v>
      </c>
      <c r="B67" s="78" t="s">
        <v>287</v>
      </c>
      <c r="C67" s="1" t="s">
        <v>292</v>
      </c>
      <c r="D67" s="1" t="s">
        <v>26</v>
      </c>
      <c r="E67" s="81" t="s">
        <v>55</v>
      </c>
      <c r="F67" s="1" t="s">
        <v>327</v>
      </c>
      <c r="G67" s="1"/>
      <c r="H67" s="1"/>
      <c r="I67" s="1"/>
      <c r="J67" s="1"/>
      <c r="K67" s="1"/>
      <c r="L67" s="1"/>
      <c r="M67" s="1"/>
      <c r="N67" s="1" t="s">
        <v>299</v>
      </c>
    </row>
    <row r="68" spans="1:14" s="15" customFormat="1" ht="30" x14ac:dyDescent="0.25">
      <c r="A68">
        <v>3820</v>
      </c>
      <c r="B68" s="78" t="s">
        <v>323</v>
      </c>
      <c r="C68" s="1" t="s">
        <v>325</v>
      </c>
      <c r="D68" s="1" t="s">
        <v>339</v>
      </c>
      <c r="E68" s="81" t="s">
        <v>55</v>
      </c>
      <c r="F68" s="1" t="s">
        <v>105</v>
      </c>
      <c r="G68" s="1"/>
      <c r="H68" s="1"/>
      <c r="I68" s="1">
        <v>150</v>
      </c>
      <c r="J68" s="1" t="s">
        <v>107</v>
      </c>
      <c r="K68" s="1" t="s">
        <v>293</v>
      </c>
      <c r="L68" s="1"/>
      <c r="M68" s="1" t="s">
        <v>337</v>
      </c>
      <c r="N68" s="85" t="s">
        <v>298</v>
      </c>
    </row>
    <row r="69" spans="1:14" s="15" customFormat="1" x14ac:dyDescent="0.25">
      <c r="A69"/>
      <c r="B69" s="78"/>
      <c r="C69" s="1"/>
      <c r="D69" s="1"/>
      <c r="E69" s="81"/>
      <c r="F69" s="1"/>
      <c r="G69" s="1"/>
      <c r="H69" s="1"/>
      <c r="I69" s="1">
        <v>50</v>
      </c>
      <c r="J69" s="1" t="s">
        <v>110</v>
      </c>
      <c r="K69" s="1"/>
      <c r="L69" s="1"/>
      <c r="M69" s="1"/>
      <c r="N69" s="17"/>
    </row>
    <row r="70" spans="1:14" s="26" customFormat="1" ht="45" x14ac:dyDescent="0.25">
      <c r="A70" s="26">
        <v>3817</v>
      </c>
      <c r="B70" s="34" t="s">
        <v>342</v>
      </c>
      <c r="C70" s="48" t="s">
        <v>268</v>
      </c>
      <c r="D70" s="48" t="s">
        <v>26</v>
      </c>
      <c r="E70" s="98" t="s">
        <v>16</v>
      </c>
      <c r="F70" s="48" t="s">
        <v>48</v>
      </c>
      <c r="G70" s="48"/>
      <c r="H70" s="48" t="s">
        <v>138</v>
      </c>
      <c r="I70" s="48"/>
      <c r="J70" s="48"/>
      <c r="K70" s="48" t="s">
        <v>290</v>
      </c>
      <c r="L70" s="48"/>
      <c r="M70" s="82" t="s">
        <v>418</v>
      </c>
      <c r="N70" s="48" t="s">
        <v>299</v>
      </c>
    </row>
    <row r="71" spans="1:14" s="26" customFormat="1" ht="45" x14ac:dyDescent="0.25">
      <c r="A71" s="26">
        <v>3836</v>
      </c>
      <c r="B71" s="101" t="s">
        <v>401</v>
      </c>
      <c r="C71" s="82" t="s">
        <v>422</v>
      </c>
      <c r="D71" s="82" t="s">
        <v>338</v>
      </c>
      <c r="E71" s="98" t="s">
        <v>55</v>
      </c>
      <c r="F71" s="48" t="s">
        <v>105</v>
      </c>
      <c r="G71" s="48"/>
      <c r="H71" s="48"/>
      <c r="I71" s="48"/>
      <c r="J71" s="48"/>
      <c r="K71" s="48"/>
      <c r="L71" s="48"/>
      <c r="M71" s="82" t="s">
        <v>417</v>
      </c>
      <c r="N71" s="93" t="s">
        <v>23</v>
      </c>
    </row>
    <row r="72" spans="1:14" s="26" customFormat="1" ht="60" x14ac:dyDescent="0.25">
      <c r="A72" s="26">
        <v>3818</v>
      </c>
      <c r="B72" s="34" t="s">
        <v>269</v>
      </c>
      <c r="C72" s="48" t="s">
        <v>270</v>
      </c>
      <c r="D72" s="48" t="s">
        <v>217</v>
      </c>
      <c r="E72" s="98" t="s">
        <v>55</v>
      </c>
      <c r="F72" s="48" t="s">
        <v>327</v>
      </c>
      <c r="G72" s="48"/>
      <c r="H72" s="48"/>
      <c r="I72" s="48"/>
      <c r="J72" s="48"/>
      <c r="K72" s="48" t="s">
        <v>308</v>
      </c>
      <c r="L72" s="48" t="s">
        <v>309</v>
      </c>
      <c r="M72" s="48" t="s">
        <v>336</v>
      </c>
      <c r="N72" s="48" t="s">
        <v>23</v>
      </c>
    </row>
    <row r="73" spans="1:14" s="26" customFormat="1" ht="30" x14ac:dyDescent="0.25">
      <c r="A73" s="26">
        <v>3837</v>
      </c>
      <c r="B73" s="97" t="s">
        <v>392</v>
      </c>
      <c r="C73" s="82" t="s">
        <v>423</v>
      </c>
      <c r="D73" s="82" t="s">
        <v>421</v>
      </c>
      <c r="E73" s="96" t="s">
        <v>55</v>
      </c>
      <c r="F73" s="82" t="s">
        <v>105</v>
      </c>
      <c r="G73" s="82"/>
      <c r="H73" s="82"/>
      <c r="I73" s="82" t="s">
        <v>138</v>
      </c>
      <c r="J73" s="82" t="s">
        <v>107</v>
      </c>
      <c r="K73" s="82"/>
      <c r="L73" s="82"/>
      <c r="M73" s="82" t="s">
        <v>436</v>
      </c>
      <c r="N73" s="82" t="s">
        <v>23</v>
      </c>
    </row>
    <row r="74" spans="1:14" s="26" customFormat="1" x14ac:dyDescent="0.25">
      <c r="B74" s="99"/>
      <c r="C74" s="82"/>
      <c r="D74" s="82"/>
      <c r="E74" s="96"/>
      <c r="F74" s="82"/>
      <c r="G74" s="82"/>
      <c r="H74" s="82"/>
      <c r="I74" s="82" t="s">
        <v>138</v>
      </c>
      <c r="J74" s="82" t="s">
        <v>110</v>
      </c>
      <c r="K74" s="82"/>
      <c r="L74" s="82"/>
      <c r="M74" s="82"/>
      <c r="N74" s="82"/>
    </row>
    <row r="75" spans="1:14" s="26" customFormat="1" ht="45" x14ac:dyDescent="0.25">
      <c r="A75" s="26">
        <v>3819</v>
      </c>
      <c r="B75" s="34" t="s">
        <v>343</v>
      </c>
      <c r="C75" s="48" t="s">
        <v>271</v>
      </c>
      <c r="D75" s="48" t="s">
        <v>217</v>
      </c>
      <c r="E75" s="98" t="s">
        <v>55</v>
      </c>
      <c r="F75" s="48" t="s">
        <v>327</v>
      </c>
      <c r="G75" s="48"/>
      <c r="H75" s="48"/>
      <c r="I75" s="48"/>
      <c r="J75" s="48"/>
      <c r="K75" s="48"/>
      <c r="L75" s="48"/>
      <c r="M75" s="48" t="s">
        <v>317</v>
      </c>
      <c r="N75" s="48" t="s">
        <v>23</v>
      </c>
    </row>
    <row r="76" spans="1:14" customFormat="1" ht="75" x14ac:dyDescent="0.25">
      <c r="A76">
        <v>3809</v>
      </c>
      <c r="B76" s="78" t="s">
        <v>272</v>
      </c>
      <c r="C76" s="1" t="s">
        <v>345</v>
      </c>
      <c r="D76" s="1" t="s">
        <v>273</v>
      </c>
      <c r="E76" s="86" t="s">
        <v>16</v>
      </c>
      <c r="F76" s="1" t="s">
        <v>48</v>
      </c>
      <c r="G76" s="1"/>
      <c r="H76" s="1" t="s">
        <v>62</v>
      </c>
      <c r="I76" s="1">
        <v>2.5</v>
      </c>
      <c r="J76" s="1"/>
      <c r="K76" s="1" t="s">
        <v>288</v>
      </c>
      <c r="L76" s="1" t="s">
        <v>302</v>
      </c>
      <c r="M76" s="1" t="s">
        <v>303</v>
      </c>
      <c r="N76" s="1" t="s">
        <v>299</v>
      </c>
    </row>
    <row r="77" spans="1:14" customFormat="1" ht="30" x14ac:dyDescent="0.25">
      <c r="A77">
        <v>3825</v>
      </c>
      <c r="B77" s="78" t="s">
        <v>294</v>
      </c>
      <c r="C77" s="1" t="s">
        <v>305</v>
      </c>
      <c r="D77" s="1" t="s">
        <v>273</v>
      </c>
      <c r="E77" s="81" t="s">
        <v>55</v>
      </c>
      <c r="F77" s="1" t="s">
        <v>327</v>
      </c>
      <c r="G77" s="1"/>
      <c r="H77" s="1"/>
      <c r="I77" s="1"/>
      <c r="J77" s="1"/>
      <c r="K77" s="1" t="s">
        <v>316</v>
      </c>
      <c r="L77" s="1"/>
      <c r="M77" s="1"/>
      <c r="N77" s="1" t="s">
        <v>299</v>
      </c>
    </row>
    <row r="78" spans="1:14" customFormat="1" ht="30" x14ac:dyDescent="0.25">
      <c r="A78">
        <v>3824</v>
      </c>
      <c r="B78" s="78" t="s">
        <v>295</v>
      </c>
      <c r="C78" s="1" t="s">
        <v>306</v>
      </c>
      <c r="D78" s="1" t="s">
        <v>273</v>
      </c>
      <c r="E78" s="81" t="s">
        <v>55</v>
      </c>
      <c r="F78" s="1" t="s">
        <v>327</v>
      </c>
      <c r="G78" s="1"/>
      <c r="H78" s="1"/>
      <c r="I78" s="1"/>
      <c r="J78" s="1"/>
      <c r="K78" s="1"/>
      <c r="L78" s="1"/>
      <c r="M78" s="1"/>
      <c r="N78" s="1"/>
    </row>
    <row r="79" spans="1:14" customFormat="1" ht="30" x14ac:dyDescent="0.25">
      <c r="A79">
        <v>3823</v>
      </c>
      <c r="B79" s="78" t="s">
        <v>324</v>
      </c>
      <c r="C79" s="1" t="s">
        <v>326</v>
      </c>
      <c r="D79" s="1" t="s">
        <v>338</v>
      </c>
      <c r="E79" s="81" t="s">
        <v>55</v>
      </c>
      <c r="F79" s="1" t="s">
        <v>105</v>
      </c>
      <c r="G79" s="1"/>
      <c r="H79" s="1">
        <f>-I4449</f>
        <v>0</v>
      </c>
      <c r="I79" s="1">
        <v>150</v>
      </c>
      <c r="J79" s="1" t="s">
        <v>107</v>
      </c>
      <c r="K79" s="1" t="s">
        <v>296</v>
      </c>
      <c r="L79" s="1"/>
      <c r="M79" s="1" t="s">
        <v>297</v>
      </c>
      <c r="N79" s="90" t="s">
        <v>304</v>
      </c>
    </row>
    <row r="80" spans="1:14" s="15" customFormat="1" x14ac:dyDescent="0.25">
      <c r="B80" s="33"/>
      <c r="C80" s="17"/>
      <c r="D80" s="17"/>
      <c r="E80" s="18"/>
      <c r="F80" s="17"/>
      <c r="G80" s="17"/>
      <c r="H80" s="17"/>
      <c r="I80" s="1">
        <v>50</v>
      </c>
      <c r="J80" s="1" t="s">
        <v>110</v>
      </c>
      <c r="K80" s="17"/>
      <c r="L80" s="17"/>
      <c r="M80" s="17"/>
      <c r="N80" s="17"/>
    </row>
    <row r="81" spans="1:14" s="26" customFormat="1" ht="45" x14ac:dyDescent="0.25">
      <c r="A81" s="26">
        <v>3831</v>
      </c>
      <c r="B81" s="34" t="s">
        <v>344</v>
      </c>
      <c r="C81" s="48" t="s">
        <v>274</v>
      </c>
      <c r="D81" s="48" t="s">
        <v>273</v>
      </c>
      <c r="E81" s="98" t="s">
        <v>16</v>
      </c>
      <c r="F81" s="48" t="s">
        <v>48</v>
      </c>
      <c r="G81" s="48"/>
      <c r="H81" s="48"/>
      <c r="I81" s="48"/>
      <c r="J81" s="48"/>
      <c r="K81" s="48" t="s">
        <v>289</v>
      </c>
      <c r="L81" s="48"/>
      <c r="M81" s="48" t="s">
        <v>318</v>
      </c>
      <c r="N81" s="48" t="s">
        <v>299</v>
      </c>
    </row>
    <row r="82" spans="1:14" s="26" customFormat="1" ht="45" x14ac:dyDescent="0.25">
      <c r="A82" s="26">
        <v>3838</v>
      </c>
      <c r="B82" s="100" t="s">
        <v>420</v>
      </c>
      <c r="C82" s="82" t="s">
        <v>424</v>
      </c>
      <c r="D82" s="82" t="s">
        <v>338</v>
      </c>
      <c r="E82" s="98" t="s">
        <v>55</v>
      </c>
      <c r="F82" s="48" t="s">
        <v>105</v>
      </c>
      <c r="G82" s="48"/>
      <c r="H82" s="48"/>
      <c r="I82" s="48"/>
      <c r="J82" s="48"/>
      <c r="K82" s="48"/>
      <c r="L82" s="48"/>
      <c r="M82" s="82" t="s">
        <v>419</v>
      </c>
      <c r="N82" s="93" t="s">
        <v>23</v>
      </c>
    </row>
    <row r="83" spans="1:14" s="40" customFormat="1" x14ac:dyDescent="0.25">
      <c r="B83" s="39"/>
      <c r="C83" s="53"/>
      <c r="D83" s="53"/>
      <c r="E83" s="54"/>
      <c r="F83" s="53"/>
      <c r="G83" s="53"/>
      <c r="H83" s="53"/>
      <c r="I83" s="53"/>
      <c r="J83" s="53"/>
      <c r="K83" s="53"/>
      <c r="L83" s="53"/>
      <c r="M83" s="53"/>
      <c r="N83" s="53"/>
    </row>
    <row r="84" spans="1:14" s="25" customFormat="1" x14ac:dyDescent="0.25">
      <c r="B84" s="35"/>
      <c r="C84" s="55" t="s">
        <v>169</v>
      </c>
      <c r="D84" s="56"/>
      <c r="E84" s="56"/>
      <c r="F84" s="56"/>
      <c r="G84" s="56"/>
      <c r="H84" s="56"/>
      <c r="I84" s="56"/>
      <c r="J84" s="56"/>
      <c r="K84" s="56"/>
      <c r="L84" s="56"/>
      <c r="M84" s="56"/>
      <c r="N84" s="56"/>
    </row>
    <row r="85" spans="1:14" x14ac:dyDescent="0.25">
      <c r="C85" s="19" t="s">
        <v>170</v>
      </c>
      <c r="D85" s="19" t="s">
        <v>54</v>
      </c>
      <c r="E85" s="47" t="s">
        <v>16</v>
      </c>
      <c r="F85" s="19" t="s">
        <v>171</v>
      </c>
      <c r="G85" s="19"/>
      <c r="H85" s="19" t="s">
        <v>173</v>
      </c>
      <c r="I85" s="19" t="s">
        <v>174</v>
      </c>
      <c r="J85" s="19"/>
      <c r="L85" s="19" t="s">
        <v>172</v>
      </c>
      <c r="N85" s="19"/>
    </row>
    <row r="86" spans="1:14" x14ac:dyDescent="0.25">
      <c r="C86" s="19" t="s">
        <v>175</v>
      </c>
      <c r="D86" s="19" t="s">
        <v>54</v>
      </c>
      <c r="E86" s="47" t="s">
        <v>16</v>
      </c>
      <c r="F86" s="19" t="s">
        <v>171</v>
      </c>
      <c r="G86" s="19"/>
      <c r="H86" s="19" t="s">
        <v>173</v>
      </c>
      <c r="I86" s="19" t="s">
        <v>174</v>
      </c>
      <c r="J86" s="19"/>
      <c r="L86" s="19" t="s">
        <v>176</v>
      </c>
      <c r="N86" s="19"/>
    </row>
    <row r="87" spans="1:14" x14ac:dyDescent="0.25">
      <c r="C87" s="19"/>
      <c r="D87" s="19"/>
      <c r="E87" s="47"/>
      <c r="F87" s="19"/>
      <c r="G87" s="19"/>
      <c r="H87" s="19" t="s">
        <v>174</v>
      </c>
      <c r="I87" s="19" t="s">
        <v>174</v>
      </c>
      <c r="J87" s="19"/>
      <c r="L87" s="19" t="s">
        <v>106</v>
      </c>
      <c r="N87" s="19"/>
    </row>
    <row r="88" spans="1:14" x14ac:dyDescent="0.25">
      <c r="E88" s="29"/>
    </row>
    <row r="89" spans="1:14" x14ac:dyDescent="0.25">
      <c r="E89" s="29"/>
      <c r="N89" s="19"/>
    </row>
    <row r="90" spans="1:14" x14ac:dyDescent="0.25">
      <c r="E90" s="29"/>
    </row>
    <row r="91" spans="1:14" x14ac:dyDescent="0.25">
      <c r="E91" s="29"/>
    </row>
    <row r="92" spans="1:14" x14ac:dyDescent="0.25">
      <c r="E92" s="29"/>
    </row>
    <row r="93" spans="1:14" x14ac:dyDescent="0.25">
      <c r="E93" s="29"/>
    </row>
    <row r="94" spans="1:14" x14ac:dyDescent="0.25">
      <c r="E94" s="29"/>
    </row>
    <row r="95" spans="1:14" x14ac:dyDescent="0.25">
      <c r="E95" s="29"/>
    </row>
    <row r="96" spans="1:14" x14ac:dyDescent="0.25">
      <c r="E96" s="29"/>
    </row>
    <row r="97" spans="5:5" x14ac:dyDescent="0.25">
      <c r="E97" s="29"/>
    </row>
    <row r="98" spans="5:5" x14ac:dyDescent="0.25">
      <c r="E98" s="29"/>
    </row>
    <row r="99" spans="5:5" x14ac:dyDescent="0.25">
      <c r="E99" s="29"/>
    </row>
    <row r="100" spans="5:5" x14ac:dyDescent="0.25">
      <c r="E100" s="29"/>
    </row>
    <row r="101" spans="5:5" x14ac:dyDescent="0.25">
      <c r="E101" s="29"/>
    </row>
    <row r="102" spans="5:5" x14ac:dyDescent="0.25">
      <c r="E102" s="29"/>
    </row>
    <row r="103" spans="5:5" x14ac:dyDescent="0.25">
      <c r="E103" s="29"/>
    </row>
    <row r="104" spans="5:5" x14ac:dyDescent="0.25">
      <c r="E104" s="29"/>
    </row>
    <row r="105" spans="5:5" x14ac:dyDescent="0.25">
      <c r="E105" s="29"/>
    </row>
    <row r="106" spans="5:5" x14ac:dyDescent="0.25">
      <c r="E106" s="29"/>
    </row>
    <row r="107" spans="5:5" x14ac:dyDescent="0.25">
      <c r="E107" s="29"/>
    </row>
  </sheetData>
  <autoFilter ref="A4:B4" xr:uid="{5A8E943B-DB86-42C8-8E8F-7EBCB1CDA60A}"/>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A06BE-271A-4703-8A82-942C7C37F252}">
  <dimension ref="A1:L99"/>
  <sheetViews>
    <sheetView topLeftCell="A31" zoomScale="85" zoomScaleNormal="85" workbookViewId="0">
      <selection activeCell="C40" sqref="C40"/>
    </sheetView>
  </sheetViews>
  <sheetFormatPr defaultRowHeight="15" x14ac:dyDescent="0.25"/>
  <cols>
    <col min="1" max="1" width="35.7109375" bestFit="1" customWidth="1"/>
    <col min="3" max="3" width="15.7109375" customWidth="1"/>
    <col min="4" max="4" width="18" customWidth="1"/>
    <col min="5" max="5" width="30" customWidth="1"/>
    <col min="7" max="7" width="20.5703125" bestFit="1" customWidth="1"/>
    <col min="9" max="9" width="10.28515625" customWidth="1"/>
    <col min="10" max="10" width="40" bestFit="1" customWidth="1"/>
    <col min="11" max="11" width="36.5703125" customWidth="1"/>
    <col min="12" max="12" width="55.85546875" bestFit="1" customWidth="1"/>
  </cols>
  <sheetData>
    <row r="1" spans="1:12" x14ac:dyDescent="0.25">
      <c r="A1" s="92" t="s">
        <v>0</v>
      </c>
      <c r="B1" s="92"/>
      <c r="C1" s="92"/>
      <c r="D1" s="92"/>
      <c r="E1" s="92"/>
      <c r="F1" s="92"/>
      <c r="G1" s="92"/>
      <c r="H1" s="92"/>
      <c r="I1" s="92"/>
      <c r="J1" s="92"/>
    </row>
    <row r="2" spans="1:12" x14ac:dyDescent="0.25">
      <c r="A2" s="91"/>
      <c r="B2" s="91"/>
      <c r="C2" s="91"/>
      <c r="D2" s="91"/>
      <c r="E2" s="91"/>
      <c r="F2" s="91"/>
      <c r="G2" s="91"/>
      <c r="H2" s="91"/>
      <c r="I2" s="91"/>
      <c r="J2" s="91"/>
    </row>
    <row r="3" spans="1:12" x14ac:dyDescent="0.25">
      <c r="A3" s="91" t="s">
        <v>1</v>
      </c>
      <c r="B3" s="91"/>
      <c r="C3" s="91"/>
      <c r="D3" s="91"/>
      <c r="E3" s="91"/>
      <c r="F3" s="91"/>
      <c r="G3" s="91"/>
      <c r="H3" s="91"/>
      <c r="I3" s="91"/>
      <c r="J3" s="91"/>
    </row>
    <row r="4" spans="1:12" ht="30" x14ac:dyDescent="0.25">
      <c r="A4" t="s">
        <v>2</v>
      </c>
      <c r="B4" t="s">
        <v>3</v>
      </c>
      <c r="C4" s="1" t="s">
        <v>4</v>
      </c>
      <c r="D4" t="s">
        <v>5</v>
      </c>
      <c r="E4" t="s">
        <v>6</v>
      </c>
      <c r="F4" t="s">
        <v>7</v>
      </c>
      <c r="G4" t="s">
        <v>8</v>
      </c>
      <c r="H4" t="s">
        <v>9</v>
      </c>
      <c r="I4" t="s">
        <v>10</v>
      </c>
      <c r="J4" t="s">
        <v>11</v>
      </c>
      <c r="K4" t="s">
        <v>12</v>
      </c>
      <c r="L4" t="s">
        <v>13</v>
      </c>
    </row>
    <row r="5" spans="1:12" x14ac:dyDescent="0.25">
      <c r="A5" t="s">
        <v>14</v>
      </c>
      <c r="B5" t="s">
        <v>15</v>
      </c>
      <c r="C5" s="3" t="s">
        <v>16</v>
      </c>
      <c r="D5" t="s">
        <v>16</v>
      </c>
      <c r="G5" t="s">
        <v>17</v>
      </c>
      <c r="K5" s="1"/>
      <c r="L5" s="1"/>
    </row>
    <row r="6" spans="1:12" x14ac:dyDescent="0.25">
      <c r="A6" t="s">
        <v>18</v>
      </c>
      <c r="B6" t="s">
        <v>19</v>
      </c>
      <c r="C6" s="3" t="s">
        <v>16</v>
      </c>
      <c r="D6" t="s">
        <v>16</v>
      </c>
      <c r="G6" t="s">
        <v>20</v>
      </c>
      <c r="K6" s="1"/>
      <c r="L6" s="1"/>
    </row>
    <row r="7" spans="1:12" x14ac:dyDescent="0.25">
      <c r="A7" t="s">
        <v>21</v>
      </c>
      <c r="B7" t="s">
        <v>15</v>
      </c>
      <c r="C7" s="3" t="s">
        <v>16</v>
      </c>
      <c r="D7" t="s">
        <v>16</v>
      </c>
      <c r="G7">
        <v>64</v>
      </c>
      <c r="K7" s="1"/>
      <c r="L7" s="1"/>
    </row>
    <row r="8" spans="1:12" x14ac:dyDescent="0.25">
      <c r="A8" t="s">
        <v>22</v>
      </c>
      <c r="B8" t="s">
        <v>23</v>
      </c>
      <c r="C8" s="3" t="s">
        <v>16</v>
      </c>
      <c r="D8" t="s">
        <v>16</v>
      </c>
      <c r="G8" t="s">
        <v>24</v>
      </c>
      <c r="K8" s="1"/>
      <c r="L8" s="1"/>
    </row>
    <row r="9" spans="1:12" ht="45" x14ac:dyDescent="0.25">
      <c r="A9" t="s">
        <v>25</v>
      </c>
      <c r="B9" t="s">
        <v>26</v>
      </c>
      <c r="C9" s="3" t="s">
        <v>16</v>
      </c>
      <c r="D9" t="s">
        <v>16</v>
      </c>
      <c r="E9" t="s">
        <v>27</v>
      </c>
      <c r="F9" s="5">
        <v>-0.1</v>
      </c>
      <c r="G9">
        <v>94000</v>
      </c>
      <c r="K9" s="1" t="s">
        <v>28</v>
      </c>
      <c r="L9" s="1" t="s">
        <v>29</v>
      </c>
    </row>
    <row r="10" spans="1:12" ht="30" x14ac:dyDescent="0.25">
      <c r="A10" t="s">
        <v>30</v>
      </c>
      <c r="B10" s="1" t="s">
        <v>31</v>
      </c>
      <c r="C10" s="3" t="s">
        <v>16</v>
      </c>
      <c r="D10" t="s">
        <v>32</v>
      </c>
      <c r="F10" s="5">
        <v>-0.2</v>
      </c>
      <c r="G10">
        <v>0.01</v>
      </c>
      <c r="H10" s="5">
        <v>-0.2</v>
      </c>
      <c r="K10" s="1" t="s">
        <v>33</v>
      </c>
      <c r="L10" s="1"/>
    </row>
    <row r="11" spans="1:12" ht="45" x14ac:dyDescent="0.25">
      <c r="A11" t="s">
        <v>34</v>
      </c>
      <c r="B11" s="1" t="s">
        <v>35</v>
      </c>
      <c r="C11" s="3" t="s">
        <v>16</v>
      </c>
      <c r="D11" t="s">
        <v>36</v>
      </c>
      <c r="F11" s="5">
        <v>-0.25</v>
      </c>
      <c r="G11">
        <v>8.9999999999999993E-3</v>
      </c>
      <c r="H11" s="5">
        <v>0.25</v>
      </c>
      <c r="K11" s="1" t="s">
        <v>37</v>
      </c>
      <c r="L11" s="1" t="s">
        <v>38</v>
      </c>
    </row>
    <row r="12" spans="1:12" x14ac:dyDescent="0.25">
      <c r="A12" t="s">
        <v>39</v>
      </c>
      <c r="B12" t="s">
        <v>26</v>
      </c>
      <c r="C12" s="3" t="s">
        <v>16</v>
      </c>
      <c r="D12" t="s">
        <v>36</v>
      </c>
      <c r="E12" t="s">
        <v>40</v>
      </c>
      <c r="G12">
        <v>66</v>
      </c>
      <c r="H12">
        <v>120</v>
      </c>
      <c r="K12" s="1" t="s">
        <v>41</v>
      </c>
      <c r="L12" s="1" t="s">
        <v>42</v>
      </c>
    </row>
    <row r="13" spans="1:12" x14ac:dyDescent="0.25">
      <c r="A13" t="s">
        <v>43</v>
      </c>
      <c r="B13" t="s">
        <v>44</v>
      </c>
      <c r="C13" s="3" t="s">
        <v>16</v>
      </c>
      <c r="D13" t="s">
        <v>36</v>
      </c>
      <c r="F13">
        <v>60</v>
      </c>
      <c r="G13">
        <v>62</v>
      </c>
      <c r="K13" s="1" t="s">
        <v>23</v>
      </c>
      <c r="L13" s="1"/>
    </row>
    <row r="14" spans="1:12" x14ac:dyDescent="0.25">
      <c r="A14" t="s">
        <v>45</v>
      </c>
      <c r="B14" t="s">
        <v>44</v>
      </c>
      <c r="C14" s="3" t="s">
        <v>16</v>
      </c>
      <c r="D14" t="s">
        <v>36</v>
      </c>
      <c r="F14">
        <v>48.5</v>
      </c>
      <c r="G14">
        <v>49.5</v>
      </c>
      <c r="H14">
        <v>51.5</v>
      </c>
      <c r="K14" s="1" t="s">
        <v>23</v>
      </c>
      <c r="L14" s="1"/>
    </row>
    <row r="15" spans="1:12" ht="30" x14ac:dyDescent="0.25">
      <c r="A15" t="s">
        <v>46</v>
      </c>
      <c r="B15" s="1" t="s">
        <v>47</v>
      </c>
      <c r="C15" s="3" t="s">
        <v>16</v>
      </c>
      <c r="D15" t="s">
        <v>48</v>
      </c>
      <c r="E15" t="s">
        <v>49</v>
      </c>
      <c r="G15">
        <v>0.05</v>
      </c>
      <c r="J15" t="s">
        <v>50</v>
      </c>
      <c r="K15" s="1" t="s">
        <v>51</v>
      </c>
      <c r="L15" s="1" t="s">
        <v>52</v>
      </c>
    </row>
    <row r="16" spans="1:12" ht="45" x14ac:dyDescent="0.25">
      <c r="A16" t="s">
        <v>53</v>
      </c>
      <c r="B16" t="s">
        <v>54</v>
      </c>
      <c r="C16" s="3" t="s">
        <v>55</v>
      </c>
      <c r="D16" t="s">
        <v>48</v>
      </c>
      <c r="E16" t="s">
        <v>49</v>
      </c>
      <c r="G16">
        <v>42.8</v>
      </c>
      <c r="J16" t="s">
        <v>50</v>
      </c>
      <c r="K16" s="1" t="s">
        <v>56</v>
      </c>
      <c r="L16" s="1"/>
    </row>
    <row r="17" spans="1:12" ht="45" x14ac:dyDescent="0.25">
      <c r="A17" t="s">
        <v>57</v>
      </c>
      <c r="B17" t="s">
        <v>26</v>
      </c>
      <c r="C17" s="3" t="s">
        <v>16</v>
      </c>
      <c r="D17" t="s">
        <v>48</v>
      </c>
      <c r="E17" t="s">
        <v>58</v>
      </c>
      <c r="G17">
        <v>587.20000000000005</v>
      </c>
      <c r="K17" s="1" t="s">
        <v>59</v>
      </c>
      <c r="L17" s="1"/>
    </row>
    <row r="18" spans="1:12" ht="60" x14ac:dyDescent="0.25">
      <c r="A18" t="s">
        <v>60</v>
      </c>
      <c r="B18" t="s">
        <v>61</v>
      </c>
      <c r="C18" s="3" t="s">
        <v>16</v>
      </c>
      <c r="D18" t="s">
        <v>48</v>
      </c>
      <c r="G18" t="s">
        <v>62</v>
      </c>
      <c r="H18">
        <v>2.5</v>
      </c>
      <c r="K18" s="1" t="s">
        <v>63</v>
      </c>
      <c r="L18" s="1" t="s">
        <v>64</v>
      </c>
    </row>
    <row r="19" spans="1:12" x14ac:dyDescent="0.25">
      <c r="A19" t="s">
        <v>65</v>
      </c>
      <c r="B19" t="s">
        <v>23</v>
      </c>
      <c r="C19" s="3" t="s">
        <v>16</v>
      </c>
      <c r="D19" t="s">
        <v>66</v>
      </c>
      <c r="G19" t="s">
        <v>67</v>
      </c>
      <c r="K19" s="1"/>
      <c r="L19" s="1"/>
    </row>
    <row r="20" spans="1:12" ht="60" x14ac:dyDescent="0.25">
      <c r="A20" t="s">
        <v>68</v>
      </c>
      <c r="B20" t="s">
        <v>23</v>
      </c>
      <c r="C20" s="3" t="s">
        <v>16</v>
      </c>
      <c r="D20" t="s">
        <v>36</v>
      </c>
      <c r="G20" s="1" t="s">
        <v>69</v>
      </c>
      <c r="K20" s="1"/>
      <c r="L20" s="1"/>
    </row>
    <row r="21" spans="1:12" x14ac:dyDescent="0.25">
      <c r="A21" t="s">
        <v>70</v>
      </c>
      <c r="B21" t="s">
        <v>71</v>
      </c>
      <c r="C21" s="3" t="s">
        <v>16</v>
      </c>
      <c r="D21" t="s">
        <v>16</v>
      </c>
      <c r="G21" t="s">
        <v>72</v>
      </c>
      <c r="K21" s="1"/>
      <c r="L21" s="1"/>
    </row>
    <row r="22" spans="1:12" ht="90" x14ac:dyDescent="0.25">
      <c r="A22" t="s">
        <v>73</v>
      </c>
      <c r="B22" t="s">
        <v>71</v>
      </c>
      <c r="C22" s="3" t="s">
        <v>16</v>
      </c>
      <c r="D22" t="s">
        <v>74</v>
      </c>
      <c r="G22" t="s">
        <v>75</v>
      </c>
      <c r="K22" s="1" t="s">
        <v>76</v>
      </c>
      <c r="L22" s="1" t="s">
        <v>77</v>
      </c>
    </row>
    <row r="23" spans="1:12" x14ac:dyDescent="0.25">
      <c r="A23" t="s">
        <v>78</v>
      </c>
      <c r="B23" t="s">
        <v>23</v>
      </c>
      <c r="C23" s="3" t="s">
        <v>16</v>
      </c>
      <c r="D23" t="s">
        <v>79</v>
      </c>
      <c r="G23" t="s">
        <v>80</v>
      </c>
      <c r="K23" s="1"/>
      <c r="L23" s="1"/>
    </row>
    <row r="24" spans="1:12" ht="30" x14ac:dyDescent="0.25">
      <c r="A24" t="s">
        <v>81</v>
      </c>
      <c r="B24" t="s">
        <v>82</v>
      </c>
      <c r="C24" s="2" t="s">
        <v>16</v>
      </c>
      <c r="D24" t="s">
        <v>48</v>
      </c>
      <c r="K24" s="1" t="s">
        <v>83</v>
      </c>
      <c r="L24" s="1"/>
    </row>
    <row r="25" spans="1:12" ht="45" x14ac:dyDescent="0.25">
      <c r="A25" s="12" t="s">
        <v>84</v>
      </c>
      <c r="B25" s="12" t="s">
        <v>26</v>
      </c>
      <c r="C25" s="13" t="s">
        <v>16</v>
      </c>
      <c r="D25" s="12" t="s">
        <v>36</v>
      </c>
      <c r="E25" s="12"/>
      <c r="F25" s="12"/>
      <c r="G25" s="12"/>
      <c r="H25" s="12"/>
      <c r="I25" s="12"/>
      <c r="J25" s="12"/>
      <c r="K25" s="14" t="s">
        <v>85</v>
      </c>
      <c r="L25" s="1"/>
    </row>
    <row r="26" spans="1:12" x14ac:dyDescent="0.25">
      <c r="A26" t="s">
        <v>86</v>
      </c>
      <c r="B26" t="s">
        <v>26</v>
      </c>
      <c r="C26" s="2" t="s">
        <v>16</v>
      </c>
      <c r="D26" t="s">
        <v>36</v>
      </c>
      <c r="K26" s="1" t="s">
        <v>87</v>
      </c>
      <c r="L26" s="1"/>
    </row>
    <row r="27" spans="1:12" ht="30" x14ac:dyDescent="0.25">
      <c r="A27" t="s">
        <v>88</v>
      </c>
      <c r="B27" t="s">
        <v>89</v>
      </c>
      <c r="C27" s="2" t="s">
        <v>16</v>
      </c>
      <c r="D27" t="s">
        <v>36</v>
      </c>
      <c r="E27" t="s">
        <v>90</v>
      </c>
      <c r="K27" s="1" t="s">
        <v>91</v>
      </c>
      <c r="L27" s="1" t="s">
        <v>92</v>
      </c>
    </row>
    <row r="28" spans="1:12" ht="30" x14ac:dyDescent="0.25">
      <c r="C28" s="2"/>
      <c r="E28" t="s">
        <v>93</v>
      </c>
      <c r="K28" s="1" t="s">
        <v>94</v>
      </c>
      <c r="L28" s="1"/>
    </row>
    <row r="29" spans="1:12" x14ac:dyDescent="0.25">
      <c r="C29" s="2"/>
      <c r="E29" t="s">
        <v>95</v>
      </c>
      <c r="K29" s="1"/>
      <c r="L29" s="1"/>
    </row>
    <row r="30" spans="1:12" ht="45" x14ac:dyDescent="0.25">
      <c r="A30" s="1" t="s">
        <v>96</v>
      </c>
      <c r="B30" t="s">
        <v>97</v>
      </c>
      <c r="C30" s="2" t="s">
        <v>16</v>
      </c>
      <c r="D30" t="s">
        <v>36</v>
      </c>
      <c r="E30" s="1" t="s">
        <v>98</v>
      </c>
      <c r="K30" s="1"/>
      <c r="L30" s="1"/>
    </row>
    <row r="31" spans="1:12" ht="93" customHeight="1" x14ac:dyDescent="0.25">
      <c r="A31" s="4" t="s">
        <v>99</v>
      </c>
      <c r="B31" s="4"/>
      <c r="C31" s="4"/>
      <c r="D31" s="4"/>
      <c r="E31" s="4" t="s">
        <v>100</v>
      </c>
      <c r="F31" s="4"/>
      <c r="G31" s="4"/>
      <c r="H31" s="4"/>
      <c r="I31" s="4"/>
      <c r="J31" s="4" t="s">
        <v>101</v>
      </c>
      <c r="K31" s="1" t="s">
        <v>102</v>
      </c>
      <c r="L31" s="1" t="s">
        <v>103</v>
      </c>
    </row>
    <row r="32" spans="1:12" ht="45" x14ac:dyDescent="0.25">
      <c r="A32" t="s">
        <v>104</v>
      </c>
      <c r="B32" t="s">
        <v>15</v>
      </c>
      <c r="C32" s="2" t="s">
        <v>55</v>
      </c>
      <c r="D32" t="s">
        <v>105</v>
      </c>
      <c r="E32" t="s">
        <v>106</v>
      </c>
      <c r="H32">
        <v>100</v>
      </c>
      <c r="I32" t="s">
        <v>107</v>
      </c>
      <c r="J32" t="s">
        <v>108</v>
      </c>
      <c r="K32" s="1" t="s">
        <v>109</v>
      </c>
      <c r="L32" s="1"/>
    </row>
    <row r="33" spans="1:12" ht="30" x14ac:dyDescent="0.25">
      <c r="C33" s="2"/>
      <c r="H33">
        <v>20</v>
      </c>
      <c r="I33" t="s">
        <v>110</v>
      </c>
      <c r="K33" s="1" t="s">
        <v>111</v>
      </c>
      <c r="L33" s="1"/>
    </row>
    <row r="34" spans="1:12" ht="30" x14ac:dyDescent="0.25">
      <c r="A34" t="s">
        <v>112</v>
      </c>
      <c r="B34" t="s">
        <v>15</v>
      </c>
      <c r="C34" s="2" t="s">
        <v>55</v>
      </c>
      <c r="D34" t="s">
        <v>105</v>
      </c>
      <c r="E34" t="s">
        <v>113</v>
      </c>
      <c r="H34">
        <v>5</v>
      </c>
      <c r="I34" t="s">
        <v>107</v>
      </c>
      <c r="J34" t="s">
        <v>114</v>
      </c>
      <c r="K34" s="1" t="s">
        <v>115</v>
      </c>
      <c r="L34" s="1"/>
    </row>
    <row r="35" spans="1:12" x14ac:dyDescent="0.25">
      <c r="C35" s="2"/>
      <c r="H35">
        <v>0</v>
      </c>
      <c r="I35" t="s">
        <v>110</v>
      </c>
      <c r="K35" s="1"/>
      <c r="L35" s="1"/>
    </row>
    <row r="36" spans="1:12" x14ac:dyDescent="0.25">
      <c r="A36" t="s">
        <v>116</v>
      </c>
      <c r="B36" t="s">
        <v>15</v>
      </c>
      <c r="C36" s="2" t="s">
        <v>55</v>
      </c>
      <c r="D36" t="s">
        <v>105</v>
      </c>
      <c r="E36" t="s">
        <v>117</v>
      </c>
      <c r="H36">
        <v>5</v>
      </c>
      <c r="I36" t="s">
        <v>107</v>
      </c>
      <c r="J36" t="s">
        <v>114</v>
      </c>
      <c r="K36" s="1"/>
      <c r="L36" s="1"/>
    </row>
    <row r="37" spans="1:12" x14ac:dyDescent="0.25">
      <c r="C37" s="2"/>
      <c r="H37">
        <v>0</v>
      </c>
      <c r="I37" t="s">
        <v>110</v>
      </c>
      <c r="K37" s="1"/>
      <c r="L37" s="1"/>
    </row>
    <row r="38" spans="1:12" x14ac:dyDescent="0.25">
      <c r="A38" t="s">
        <v>118</v>
      </c>
      <c r="B38" t="s">
        <v>15</v>
      </c>
      <c r="C38" s="2" t="s">
        <v>55</v>
      </c>
      <c r="D38" t="s">
        <v>105</v>
      </c>
      <c r="E38" t="s">
        <v>119</v>
      </c>
      <c r="H38">
        <v>50</v>
      </c>
      <c r="I38" t="s">
        <v>107</v>
      </c>
      <c r="J38" t="s">
        <v>120</v>
      </c>
      <c r="K38" s="1"/>
      <c r="L38" s="1"/>
    </row>
    <row r="39" spans="1:12" ht="30" x14ac:dyDescent="0.25">
      <c r="C39" s="2"/>
      <c r="H39">
        <v>20</v>
      </c>
      <c r="I39" t="s">
        <v>110</v>
      </c>
      <c r="K39" s="1" t="s">
        <v>121</v>
      </c>
      <c r="L39" s="1"/>
    </row>
    <row r="40" spans="1:12" ht="30" x14ac:dyDescent="0.25">
      <c r="A40" t="s">
        <v>122</v>
      </c>
      <c r="B40" t="s">
        <v>15</v>
      </c>
      <c r="C40" s="2" t="s">
        <v>55</v>
      </c>
      <c r="D40" t="s">
        <v>105</v>
      </c>
      <c r="E40" s="1" t="s">
        <v>123</v>
      </c>
      <c r="H40">
        <v>5</v>
      </c>
      <c r="I40" t="s">
        <v>107</v>
      </c>
      <c r="J40" s="1" t="s">
        <v>124</v>
      </c>
      <c r="K40" s="1" t="s">
        <v>125</v>
      </c>
      <c r="L40" s="1"/>
    </row>
    <row r="41" spans="1:12" x14ac:dyDescent="0.25">
      <c r="C41" s="2"/>
      <c r="E41" s="1"/>
      <c r="H41">
        <v>0</v>
      </c>
      <c r="I41" t="s">
        <v>110</v>
      </c>
      <c r="J41" s="1"/>
      <c r="K41" s="1"/>
      <c r="L41" s="1"/>
    </row>
    <row r="42" spans="1:12" ht="45" x14ac:dyDescent="0.25">
      <c r="C42" s="2"/>
      <c r="E42" t="s">
        <v>126</v>
      </c>
      <c r="H42">
        <v>5</v>
      </c>
      <c r="I42" t="s">
        <v>107</v>
      </c>
      <c r="K42" s="1" t="s">
        <v>127</v>
      </c>
      <c r="L42" s="1"/>
    </row>
    <row r="43" spans="1:12" x14ac:dyDescent="0.25">
      <c r="C43" s="2"/>
      <c r="H43">
        <v>0</v>
      </c>
      <c r="I43" t="s">
        <v>110</v>
      </c>
      <c r="K43" s="1"/>
      <c r="L43" s="1"/>
    </row>
    <row r="44" spans="1:12" ht="30" x14ac:dyDescent="0.25">
      <c r="A44" t="s">
        <v>128</v>
      </c>
      <c r="B44" t="s">
        <v>15</v>
      </c>
      <c r="C44" s="2" t="s">
        <v>55</v>
      </c>
      <c r="D44" t="s">
        <v>105</v>
      </c>
      <c r="E44" s="1" t="s">
        <v>129</v>
      </c>
      <c r="H44">
        <v>5</v>
      </c>
      <c r="I44" t="s">
        <v>107</v>
      </c>
      <c r="J44" s="1" t="s">
        <v>130</v>
      </c>
      <c r="K44" s="1"/>
      <c r="L44" s="1"/>
    </row>
    <row r="45" spans="1:12" x14ac:dyDescent="0.25">
      <c r="C45" s="2"/>
      <c r="E45" s="1"/>
      <c r="H45">
        <v>0</v>
      </c>
      <c r="I45" t="s">
        <v>110</v>
      </c>
      <c r="J45" s="1"/>
      <c r="K45" s="1"/>
      <c r="L45" s="1"/>
    </row>
    <row r="46" spans="1:12" x14ac:dyDescent="0.25">
      <c r="C46" s="2"/>
      <c r="E46" t="s">
        <v>131</v>
      </c>
      <c r="H46">
        <v>5</v>
      </c>
      <c r="I46" t="s">
        <v>107</v>
      </c>
      <c r="K46" s="1"/>
      <c r="L46" s="1"/>
    </row>
    <row r="47" spans="1:12" x14ac:dyDescent="0.25">
      <c r="C47" s="2"/>
      <c r="H47">
        <v>0</v>
      </c>
      <c r="I47" t="s">
        <v>110</v>
      </c>
      <c r="K47" s="1"/>
      <c r="L47" s="1"/>
    </row>
    <row r="48" spans="1:12" x14ac:dyDescent="0.25">
      <c r="A48" t="s">
        <v>132</v>
      </c>
      <c r="B48" t="s">
        <v>15</v>
      </c>
      <c r="C48" s="2" t="s">
        <v>55</v>
      </c>
      <c r="D48" t="s">
        <v>105</v>
      </c>
      <c r="F48">
        <v>5</v>
      </c>
      <c r="J48" t="s">
        <v>133</v>
      </c>
      <c r="K48" s="1"/>
      <c r="L48" s="1"/>
    </row>
    <row r="49" spans="1:12" x14ac:dyDescent="0.25">
      <c r="A49" t="s">
        <v>134</v>
      </c>
      <c r="B49" t="s">
        <v>15</v>
      </c>
      <c r="C49" s="2" t="s">
        <v>55</v>
      </c>
      <c r="D49" t="s">
        <v>105</v>
      </c>
      <c r="F49">
        <v>5</v>
      </c>
      <c r="J49" t="s">
        <v>135</v>
      </c>
      <c r="K49" s="1"/>
      <c r="L49" s="1"/>
    </row>
    <row r="50" spans="1:12" ht="45" x14ac:dyDescent="0.25">
      <c r="A50" t="s">
        <v>136</v>
      </c>
      <c r="B50" t="s">
        <v>15</v>
      </c>
      <c r="C50" s="2" t="s">
        <v>55</v>
      </c>
      <c r="D50" t="s">
        <v>105</v>
      </c>
      <c r="E50" s="1" t="s">
        <v>137</v>
      </c>
      <c r="H50" t="s">
        <v>138</v>
      </c>
      <c r="J50" s="1" t="s">
        <v>139</v>
      </c>
      <c r="K50" s="1" t="s">
        <v>125</v>
      </c>
      <c r="L50" s="1" t="s">
        <v>140</v>
      </c>
    </row>
    <row r="51" spans="1:12" ht="45" x14ac:dyDescent="0.25">
      <c r="A51" s="11" t="s">
        <v>141</v>
      </c>
      <c r="B51" s="6"/>
      <c r="C51" s="7"/>
      <c r="D51" s="6"/>
      <c r="E51" s="8"/>
      <c r="F51" s="6"/>
      <c r="G51" s="6"/>
      <c r="H51" s="6"/>
      <c r="I51" s="6"/>
      <c r="J51" s="8"/>
      <c r="K51" s="9" t="s">
        <v>142</v>
      </c>
      <c r="L51" s="1"/>
    </row>
    <row r="52" spans="1:12" ht="75" x14ac:dyDescent="0.25">
      <c r="A52" t="s">
        <v>143</v>
      </c>
      <c r="B52" t="s">
        <v>15</v>
      </c>
      <c r="C52" s="2" t="s">
        <v>55</v>
      </c>
      <c r="D52" t="s">
        <v>105</v>
      </c>
      <c r="E52" t="s">
        <v>144</v>
      </c>
      <c r="H52">
        <v>150</v>
      </c>
      <c r="I52" t="s">
        <v>107</v>
      </c>
      <c r="J52" t="s">
        <v>145</v>
      </c>
      <c r="K52" s="1" t="s">
        <v>146</v>
      </c>
      <c r="L52" s="1"/>
    </row>
    <row r="53" spans="1:12" ht="45" x14ac:dyDescent="0.25">
      <c r="C53" s="2"/>
      <c r="H53">
        <v>50</v>
      </c>
      <c r="I53" t="s">
        <v>110</v>
      </c>
      <c r="K53" s="1" t="s">
        <v>147</v>
      </c>
      <c r="L53" s="1"/>
    </row>
    <row r="54" spans="1:12" x14ac:dyDescent="0.25">
      <c r="C54" s="2"/>
      <c r="E54" t="s">
        <v>148</v>
      </c>
      <c r="H54">
        <v>150</v>
      </c>
      <c r="I54" t="s">
        <v>107</v>
      </c>
      <c r="K54" s="10" t="s">
        <v>149</v>
      </c>
      <c r="L54" s="1"/>
    </row>
    <row r="55" spans="1:12" x14ac:dyDescent="0.25">
      <c r="C55" s="2"/>
      <c r="H55">
        <v>50</v>
      </c>
      <c r="I55" t="s">
        <v>110</v>
      </c>
      <c r="K55" s="1" t="s">
        <v>150</v>
      </c>
      <c r="L55" s="1"/>
    </row>
    <row r="56" spans="1:12" ht="45" x14ac:dyDescent="0.25">
      <c r="A56" t="s">
        <v>151</v>
      </c>
      <c r="B56" t="s">
        <v>15</v>
      </c>
      <c r="C56" s="2" t="s">
        <v>55</v>
      </c>
      <c r="D56" t="s">
        <v>105</v>
      </c>
      <c r="E56" s="1" t="s">
        <v>152</v>
      </c>
      <c r="H56">
        <v>5</v>
      </c>
      <c r="I56" t="s">
        <v>107</v>
      </c>
      <c r="J56" s="1" t="s">
        <v>153</v>
      </c>
      <c r="K56" s="1" t="s">
        <v>154</v>
      </c>
      <c r="L56" s="1"/>
    </row>
    <row r="57" spans="1:12" x14ac:dyDescent="0.25">
      <c r="C57" s="2"/>
      <c r="E57" s="1"/>
      <c r="H57">
        <v>0</v>
      </c>
      <c r="I57" t="s">
        <v>110</v>
      </c>
      <c r="K57" s="1"/>
      <c r="L57" s="1"/>
    </row>
    <row r="58" spans="1:12" x14ac:dyDescent="0.25">
      <c r="C58" s="2"/>
      <c r="E58" t="s">
        <v>155</v>
      </c>
      <c r="H58">
        <v>5</v>
      </c>
      <c r="I58" t="s">
        <v>107</v>
      </c>
      <c r="K58" s="1"/>
      <c r="L58" s="1"/>
    </row>
    <row r="59" spans="1:12" x14ac:dyDescent="0.25">
      <c r="C59" s="2"/>
      <c r="H59">
        <v>0</v>
      </c>
      <c r="I59" t="s">
        <v>110</v>
      </c>
      <c r="K59" s="1"/>
      <c r="L59" s="1"/>
    </row>
    <row r="60" spans="1:12" ht="30" x14ac:dyDescent="0.25">
      <c r="A60" t="s">
        <v>156</v>
      </c>
      <c r="B60" t="s">
        <v>15</v>
      </c>
      <c r="C60" s="2" t="s">
        <v>55</v>
      </c>
      <c r="D60" t="s">
        <v>105</v>
      </c>
      <c r="E60" s="1" t="s">
        <v>157</v>
      </c>
      <c r="H60">
        <v>5</v>
      </c>
      <c r="I60" t="s">
        <v>107</v>
      </c>
      <c r="J60" s="1" t="s">
        <v>158</v>
      </c>
      <c r="K60" s="1"/>
      <c r="L60" s="1"/>
    </row>
    <row r="61" spans="1:12" x14ac:dyDescent="0.25">
      <c r="C61" s="2"/>
      <c r="E61" s="1"/>
      <c r="H61">
        <v>0</v>
      </c>
      <c r="I61" t="s">
        <v>110</v>
      </c>
      <c r="K61" s="1"/>
      <c r="L61" s="1"/>
    </row>
    <row r="62" spans="1:12" x14ac:dyDescent="0.25">
      <c r="C62" s="2"/>
      <c r="E62" t="s">
        <v>155</v>
      </c>
      <c r="H62">
        <v>5</v>
      </c>
      <c r="I62" t="s">
        <v>107</v>
      </c>
      <c r="K62" s="1"/>
      <c r="L62" s="1"/>
    </row>
    <row r="63" spans="1:12" x14ac:dyDescent="0.25">
      <c r="C63" s="2"/>
      <c r="H63">
        <v>0</v>
      </c>
      <c r="I63" t="s">
        <v>110</v>
      </c>
      <c r="K63" s="1"/>
      <c r="L63" s="1"/>
    </row>
    <row r="64" spans="1:12" x14ac:dyDescent="0.25">
      <c r="A64" s="6"/>
      <c r="B64" s="6"/>
      <c r="C64" s="7"/>
      <c r="D64" s="6"/>
      <c r="E64" s="8"/>
      <c r="F64" s="6"/>
      <c r="G64" s="6"/>
      <c r="H64" s="6"/>
      <c r="I64" s="6"/>
      <c r="J64" s="8"/>
      <c r="K64" s="9" t="s">
        <v>159</v>
      </c>
      <c r="L64" s="1"/>
    </row>
    <row r="65" spans="1:12" x14ac:dyDescent="0.25">
      <c r="A65" t="s">
        <v>160</v>
      </c>
      <c r="C65" s="2" t="s">
        <v>16</v>
      </c>
      <c r="J65" t="s">
        <v>161</v>
      </c>
      <c r="K65" s="1"/>
      <c r="L65" s="1"/>
    </row>
    <row r="66" spans="1:12" ht="45" x14ac:dyDescent="0.25">
      <c r="A66" t="s">
        <v>162</v>
      </c>
      <c r="C66" s="2" t="s">
        <v>16</v>
      </c>
      <c r="J66" t="s">
        <v>163</v>
      </c>
      <c r="K66" s="1" t="s">
        <v>164</v>
      </c>
      <c r="L66" s="1"/>
    </row>
    <row r="67" spans="1:12" x14ac:dyDescent="0.25">
      <c r="A67" t="s">
        <v>165</v>
      </c>
      <c r="C67" s="2" t="s">
        <v>16</v>
      </c>
      <c r="J67" t="s">
        <v>166</v>
      </c>
      <c r="K67" s="1"/>
      <c r="L67" s="1"/>
    </row>
    <row r="68" spans="1:12" x14ac:dyDescent="0.25">
      <c r="A68" t="s">
        <v>167</v>
      </c>
      <c r="C68" s="2" t="s">
        <v>16</v>
      </c>
      <c r="J68" t="s">
        <v>166</v>
      </c>
      <c r="K68" s="1"/>
      <c r="L68" s="1"/>
    </row>
    <row r="69" spans="1:12" x14ac:dyDescent="0.25">
      <c r="A69" t="s">
        <v>168</v>
      </c>
      <c r="C69" s="2" t="s">
        <v>16</v>
      </c>
      <c r="J69" t="s">
        <v>166</v>
      </c>
      <c r="K69" s="1"/>
      <c r="L69" s="1"/>
    </row>
    <row r="70" spans="1:12" x14ac:dyDescent="0.25">
      <c r="A70" s="4" t="s">
        <v>169</v>
      </c>
      <c r="B70" s="6"/>
      <c r="C70" s="6"/>
      <c r="D70" s="6"/>
      <c r="E70" s="6"/>
      <c r="F70" s="6"/>
      <c r="G70" s="6"/>
      <c r="H70" s="6"/>
      <c r="I70" s="6"/>
      <c r="J70" s="6"/>
      <c r="K70" s="1"/>
      <c r="L70" s="1"/>
    </row>
    <row r="71" spans="1:12" x14ac:dyDescent="0.25">
      <c r="A71" t="s">
        <v>170</v>
      </c>
      <c r="B71" t="s">
        <v>54</v>
      </c>
      <c r="C71" s="2" t="s">
        <v>16</v>
      </c>
      <c r="D71" t="s">
        <v>171</v>
      </c>
      <c r="E71" t="s">
        <v>172</v>
      </c>
      <c r="G71" t="s">
        <v>173</v>
      </c>
      <c r="H71" t="s">
        <v>174</v>
      </c>
      <c r="K71" s="1"/>
      <c r="L71" s="1"/>
    </row>
    <row r="72" spans="1:12" x14ac:dyDescent="0.25">
      <c r="A72" t="s">
        <v>175</v>
      </c>
      <c r="B72" t="s">
        <v>54</v>
      </c>
      <c r="C72" s="2" t="s">
        <v>16</v>
      </c>
      <c r="D72" t="s">
        <v>171</v>
      </c>
      <c r="E72" t="s">
        <v>176</v>
      </c>
      <c r="G72" t="s">
        <v>173</v>
      </c>
      <c r="H72" t="s">
        <v>174</v>
      </c>
      <c r="K72" s="1"/>
      <c r="L72" s="1"/>
    </row>
    <row r="73" spans="1:12" x14ac:dyDescent="0.25">
      <c r="C73" s="2"/>
      <c r="E73" t="s">
        <v>106</v>
      </c>
      <c r="G73" t="s">
        <v>174</v>
      </c>
      <c r="H73" t="s">
        <v>174</v>
      </c>
      <c r="K73" s="1"/>
      <c r="L73" s="1"/>
    </row>
    <row r="74" spans="1:12" x14ac:dyDescent="0.25">
      <c r="C74" s="2"/>
      <c r="E74" t="s">
        <v>177</v>
      </c>
    </row>
    <row r="75" spans="1:12" x14ac:dyDescent="0.25">
      <c r="C75" s="2"/>
      <c r="E75" t="s">
        <v>178</v>
      </c>
    </row>
    <row r="76" spans="1:12" x14ac:dyDescent="0.25">
      <c r="C76" s="2"/>
      <c r="E76" t="s">
        <v>179</v>
      </c>
    </row>
    <row r="77" spans="1:12" x14ac:dyDescent="0.25">
      <c r="C77" s="2"/>
    </row>
    <row r="78" spans="1:12" x14ac:dyDescent="0.25">
      <c r="C78" s="2"/>
    </row>
    <row r="79" spans="1:12" x14ac:dyDescent="0.25">
      <c r="C79" s="2"/>
    </row>
    <row r="80" spans="1:12" x14ac:dyDescent="0.25">
      <c r="C80" s="2"/>
    </row>
    <row r="81" spans="3:3" x14ac:dyDescent="0.25">
      <c r="C81" s="2"/>
    </row>
    <row r="82" spans="3:3" x14ac:dyDescent="0.25">
      <c r="C82" s="2"/>
    </row>
    <row r="83" spans="3:3" x14ac:dyDescent="0.25">
      <c r="C83" s="2"/>
    </row>
    <row r="84" spans="3:3" x14ac:dyDescent="0.25">
      <c r="C84" s="2"/>
    </row>
    <row r="85" spans="3:3" x14ac:dyDescent="0.25">
      <c r="C85" s="2"/>
    </row>
    <row r="86" spans="3:3" x14ac:dyDescent="0.25">
      <c r="C86" s="2"/>
    </row>
    <row r="87" spans="3:3" x14ac:dyDescent="0.25">
      <c r="C87" s="2"/>
    </row>
    <row r="88" spans="3:3" x14ac:dyDescent="0.25">
      <c r="C88" s="2"/>
    </row>
    <row r="89" spans="3:3" x14ac:dyDescent="0.25">
      <c r="C89" s="2"/>
    </row>
    <row r="90" spans="3:3" x14ac:dyDescent="0.25">
      <c r="C90" s="2"/>
    </row>
    <row r="91" spans="3:3" x14ac:dyDescent="0.25">
      <c r="C91" s="2"/>
    </row>
    <row r="92" spans="3:3" x14ac:dyDescent="0.25">
      <c r="C92" s="2"/>
    </row>
    <row r="93" spans="3:3" x14ac:dyDescent="0.25">
      <c r="C93" s="2"/>
    </row>
    <row r="94" spans="3:3" x14ac:dyDescent="0.25">
      <c r="C94" s="2"/>
    </row>
    <row r="95" spans="3:3" x14ac:dyDescent="0.25">
      <c r="C95" s="2"/>
    </row>
    <row r="96" spans="3:3" x14ac:dyDescent="0.25">
      <c r="C96" s="2"/>
    </row>
    <row r="97" spans="3:3" x14ac:dyDescent="0.25">
      <c r="C97" s="2"/>
    </row>
    <row r="98" spans="3:3" x14ac:dyDescent="0.25">
      <c r="C98" s="2"/>
    </row>
    <row r="99" spans="3:3" x14ac:dyDescent="0.25">
      <c r="C99" s="2"/>
    </row>
  </sheetData>
  <mergeCells count="3">
    <mergeCell ref="A3:J3"/>
    <mergeCell ref="A1:J1"/>
    <mergeCell ref="A2:J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AD124-DFE7-46A9-860C-2AC846A5E06A}">
  <dimension ref="B3:F63"/>
  <sheetViews>
    <sheetView topLeftCell="A10" workbookViewId="0">
      <selection activeCell="D44" sqref="D44"/>
    </sheetView>
  </sheetViews>
  <sheetFormatPr defaultColWidth="9.140625" defaultRowHeight="15.75" x14ac:dyDescent="0.25"/>
  <cols>
    <col min="1" max="1" width="9.140625" style="61"/>
    <col min="2" max="2" width="32.85546875" style="61" customWidth="1"/>
    <col min="3" max="3" width="34.85546875" style="61" customWidth="1"/>
    <col min="4" max="4" width="33.140625" style="61" customWidth="1"/>
    <col min="5" max="5" width="39.42578125" style="61" customWidth="1"/>
    <col min="6" max="6" width="42.7109375" style="61" customWidth="1"/>
    <col min="7" max="16384" width="9.140625" style="61"/>
  </cols>
  <sheetData>
    <row r="3" spans="2:6" x14ac:dyDescent="0.25">
      <c r="B3" s="76" t="s">
        <v>373</v>
      </c>
    </row>
    <row r="4" spans="2:6" x14ac:dyDescent="0.25">
      <c r="B4" s="61" t="s">
        <v>370</v>
      </c>
    </row>
    <row r="5" spans="2:6" x14ac:dyDescent="0.25">
      <c r="B5" s="61" t="s">
        <v>371</v>
      </c>
    </row>
    <row r="6" spans="2:6" x14ac:dyDescent="0.25">
      <c r="B6" s="61" t="s">
        <v>375</v>
      </c>
    </row>
    <row r="7" spans="2:6" x14ac:dyDescent="0.25">
      <c r="B7" s="61" t="s">
        <v>372</v>
      </c>
    </row>
    <row r="8" spans="2:6" x14ac:dyDescent="0.25">
      <c r="B8" s="61" t="s">
        <v>374</v>
      </c>
    </row>
    <row r="10" spans="2:6" ht="16.5" thickBot="1" x14ac:dyDescent="0.3">
      <c r="B10" s="58" t="s">
        <v>346</v>
      </c>
      <c r="C10" s="59" t="s">
        <v>347</v>
      </c>
      <c r="D10" s="59" t="s">
        <v>348</v>
      </c>
      <c r="E10" s="59" t="s">
        <v>349</v>
      </c>
      <c r="F10" s="60" t="s">
        <v>350</v>
      </c>
    </row>
    <row r="11" spans="2:6" ht="32.25" thickTop="1" x14ac:dyDescent="0.25">
      <c r="B11" s="62" t="s">
        <v>351</v>
      </c>
      <c r="C11" s="63" t="s">
        <v>352</v>
      </c>
      <c r="D11" s="63" t="s">
        <v>353</v>
      </c>
      <c r="E11" s="63" t="s">
        <v>365</v>
      </c>
      <c r="F11" s="64" t="s">
        <v>366</v>
      </c>
    </row>
    <row r="12" spans="2:6" ht="30.75" x14ac:dyDescent="0.25">
      <c r="B12" s="65" t="s">
        <v>354</v>
      </c>
      <c r="C12" s="66" t="s">
        <v>355</v>
      </c>
      <c r="D12" s="66" t="s">
        <v>356</v>
      </c>
      <c r="E12" s="67" t="s">
        <v>357</v>
      </c>
      <c r="F12" s="68" t="s">
        <v>357</v>
      </c>
    </row>
    <row r="13" spans="2:6" ht="31.5" x14ac:dyDescent="0.25">
      <c r="B13" s="69" t="s">
        <v>358</v>
      </c>
      <c r="C13" s="70" t="s">
        <v>359</v>
      </c>
      <c r="D13" s="70" t="s">
        <v>360</v>
      </c>
      <c r="E13" s="70" t="s">
        <v>367</v>
      </c>
      <c r="F13" s="71" t="s">
        <v>368</v>
      </c>
    </row>
    <row r="14" spans="2:6" x14ac:dyDescent="0.25">
      <c r="B14" s="72" t="s">
        <v>361</v>
      </c>
      <c r="C14" s="73" t="s">
        <v>362</v>
      </c>
      <c r="D14" s="74" t="s">
        <v>23</v>
      </c>
      <c r="E14" s="73" t="s">
        <v>363</v>
      </c>
      <c r="F14" s="75" t="s">
        <v>364</v>
      </c>
    </row>
    <row r="16" spans="2:6" x14ac:dyDescent="0.25">
      <c r="B16" s="76" t="s">
        <v>369</v>
      </c>
    </row>
    <row r="17" spans="2:5" x14ac:dyDescent="0.25">
      <c r="B17" s="61" t="s">
        <v>376</v>
      </c>
    </row>
    <row r="21" spans="2:5" x14ac:dyDescent="0.25">
      <c r="B21" s="61" t="s">
        <v>377</v>
      </c>
      <c r="E21" s="61" t="s">
        <v>385</v>
      </c>
    </row>
    <row r="49" spans="2:5" x14ac:dyDescent="0.25">
      <c r="B49" s="61" t="s">
        <v>378</v>
      </c>
    </row>
    <row r="50" spans="2:5" x14ac:dyDescent="0.25">
      <c r="B50" s="61" t="s">
        <v>381</v>
      </c>
    </row>
    <row r="51" spans="2:5" x14ac:dyDescent="0.25">
      <c r="B51" s="61" t="s">
        <v>379</v>
      </c>
    </row>
    <row r="52" spans="2:5" x14ac:dyDescent="0.25">
      <c r="B52" s="61" t="s">
        <v>380</v>
      </c>
    </row>
    <row r="53" spans="2:5" x14ac:dyDescent="0.25">
      <c r="B53" s="61" t="s">
        <v>382</v>
      </c>
    </row>
    <row r="55" spans="2:5" x14ac:dyDescent="0.25">
      <c r="B55" s="61" t="s">
        <v>383</v>
      </c>
    </row>
    <row r="59" spans="2:5" x14ac:dyDescent="0.25">
      <c r="E59" s="61" t="s">
        <v>378</v>
      </c>
    </row>
    <row r="60" spans="2:5" x14ac:dyDescent="0.25">
      <c r="E60" s="61" t="s">
        <v>388</v>
      </c>
    </row>
    <row r="61" spans="2:5" x14ac:dyDescent="0.25">
      <c r="E61" s="61" t="s">
        <v>387</v>
      </c>
    </row>
    <row r="62" spans="2:5" x14ac:dyDescent="0.25">
      <c r="E62" s="61" t="s">
        <v>389</v>
      </c>
    </row>
    <row r="63" spans="2:5" x14ac:dyDescent="0.25">
      <c r="E63" s="61" t="s">
        <v>386</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3e2ff60f-3d78-4ab2-a972-27fa999a5603" xsi:nil="true"/>
    <lcf76f155ced4ddcb4097134ff3c332f xmlns="0ad485ff-3710-4d3a-9af8-c5dabd5b824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EC5DFCE5ED669458078B2E4E068A782" ma:contentTypeVersion="11" ma:contentTypeDescription="Create a new document." ma:contentTypeScope="" ma:versionID="123608044531ece48975cb81993921aa">
  <xsd:schema xmlns:xsd="http://www.w3.org/2001/XMLSchema" xmlns:xs="http://www.w3.org/2001/XMLSchema" xmlns:p="http://schemas.microsoft.com/office/2006/metadata/properties" xmlns:ns2="0ad485ff-3710-4d3a-9af8-c5dabd5b824b" xmlns:ns3="3e2ff60f-3d78-4ab2-a972-27fa999a5603" targetNamespace="http://schemas.microsoft.com/office/2006/metadata/properties" ma:root="true" ma:fieldsID="e054823665f4f4fb751b038bd1f354b6" ns2:_="" ns3:_="">
    <xsd:import namespace="0ad485ff-3710-4d3a-9af8-c5dabd5b824b"/>
    <xsd:import namespace="3e2ff60f-3d78-4ab2-a972-27fa999a560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d485ff-3710-4d3a-9af8-c5dabd5b824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27eae40-1670-4693-a3fa-0adf1354c74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e2ff60f-3d78-4ab2-a972-27fa999a560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a21498c-4725-44ae-8502-edeb6d438d68}" ma:internalName="TaxCatchAll" ma:showField="CatchAllData" ma:web="3e2ff60f-3d78-4ab2-a972-27fa999a560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430A19-8E9C-4F05-B9DA-4435629186DA}">
  <ds:schemaRefs>
    <ds:schemaRef ds:uri="http://schemas.microsoft.com/sharepoint/v3/contenttype/forms"/>
  </ds:schemaRefs>
</ds:datastoreItem>
</file>

<file path=customXml/itemProps2.xml><?xml version="1.0" encoding="utf-8"?>
<ds:datastoreItem xmlns:ds="http://schemas.openxmlformats.org/officeDocument/2006/customXml" ds:itemID="{200434AF-DB12-4333-9857-23CE6B2676E2}">
  <ds:schemaRefs>
    <ds:schemaRef ds:uri="http://schemas.microsoft.com/office/2006/metadata/properties"/>
    <ds:schemaRef ds:uri="http://schemas.microsoft.com/office/infopath/2007/PartnerControls"/>
    <ds:schemaRef ds:uri="3e2ff60f-3d78-4ab2-a972-27fa999a5603"/>
    <ds:schemaRef ds:uri="0ad485ff-3710-4d3a-9af8-c5dabd5b824b"/>
  </ds:schemaRefs>
</ds:datastoreItem>
</file>

<file path=customXml/itemProps3.xml><?xml version="1.0" encoding="utf-8"?>
<ds:datastoreItem xmlns:ds="http://schemas.openxmlformats.org/officeDocument/2006/customXml" ds:itemID="{8C3C4C74-A8AC-4B91-A3C1-A6D8CB7879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d485ff-3710-4d3a-9af8-c5dabd5b824b"/>
    <ds:schemaRef ds:uri="3e2ff60f-3d78-4ab2-a972-27fa999a56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20251203 - list of parameters</vt:lpstr>
      <vt:lpstr>Sheet1</vt:lpstr>
      <vt:lpstr>spatial var classification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Jonathan Vanden Berk</dc:creator>
  <cp:keywords/>
  <dc:description/>
  <cp:lastModifiedBy>Jonathan Vanden Berk</cp:lastModifiedBy>
  <cp:revision/>
  <dcterms:created xsi:type="dcterms:W3CDTF">2025-11-14T13:50:39Z</dcterms:created>
  <dcterms:modified xsi:type="dcterms:W3CDTF">2025-12-11T15:20:23Z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0x0101005EC5DFCE5ED669458078B2E4E068A782</vt:lpwstr>
  </property>
  <property fmtid="{D5CDD505-2E9C-101B-9397-08002B2CF9AE}" pid="3" name="MediaServiceImageTags">
    <vt:lpwstr/>
  </property>
</Properties>
</file>