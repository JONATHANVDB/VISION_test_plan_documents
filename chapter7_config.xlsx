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thanVandenBerk\Desktop\Cursor_GIT\Magics_cursor_AI_workspace\Projects\VISION_test_plan_documents\"/>
    </mc:Choice>
  </mc:AlternateContent>
  <xr:revisionPtr revIDLastSave="0" documentId="13_ncr:1_{B015E48C-F0A4-49D2-8E96-D26876C163F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ADME" sheetId="1" r:id="rId1"/>
    <sheet name="CXP00002" sheetId="2" r:id="rId2"/>
    <sheet name="IMG002X1" sheetId="3" r:id="rId3"/>
    <sheet name="PSU00001" sheetId="4" r:id="rId4"/>
    <sheet name="VIS100xx" sheetId="5" r:id="rId5"/>
  </sheets>
  <definedNames>
    <definedName name="_xlnm._FilterDatabase" localSheetId="1" hidden="1">'CXP00002'!$A$1:$M$38</definedName>
    <definedName name="_xlnm._FilterDatabase" localSheetId="2" hidden="1">IMG002X1!$A$1:$M$34</definedName>
    <definedName name="_xlnm._FilterDatabase" localSheetId="3" hidden="1">'PSU00001'!$A$1:$M$51</definedName>
    <definedName name="_xlnm._FilterDatabase" localSheetId="4" hidden="1">VIS100xx!$A$1:$J$18</definedName>
  </definedNames>
  <calcPr calcId="0"/>
</workbook>
</file>

<file path=xl/sharedStrings.xml><?xml version="1.0" encoding="utf-8"?>
<sst xmlns="http://schemas.openxmlformats.org/spreadsheetml/2006/main" count="1240" uniqueCount="614">
  <si>
    <t>Include</t>
  </si>
  <si>
    <t>Section</t>
  </si>
  <si>
    <t>Parameter</t>
  </si>
  <si>
    <t>Datasheet_Label</t>
  </si>
  <si>
    <t>DS_Min</t>
  </si>
  <si>
    <t>DS_Typ</t>
  </si>
  <si>
    <t>DS_Max</t>
  </si>
  <si>
    <t>Unit</t>
  </si>
  <si>
    <t>Mxxxx</t>
  </si>
  <si>
    <t>Test_Proc</t>
  </si>
  <si>
    <t>LSL</t>
  </si>
  <si>
    <t>USL</t>
  </si>
  <si>
    <t>Comment</t>
  </si>
  <si>
    <t>Recommended operating conditions</t>
  </si>
  <si>
    <t>1.8V digital supply voltage (VDDD)</t>
  </si>
  <si>
    <t>VDDD</t>
  </si>
  <si>
    <t>1.62</t>
  </si>
  <si>
    <t>1.8</t>
  </si>
  <si>
    <t>1.98</t>
  </si>
  <si>
    <t>V</t>
  </si>
  <si>
    <t>3.3V analog supply voltage (VDDA)</t>
  </si>
  <si>
    <t>VDDA</t>
  </si>
  <si>
    <t>3.135</t>
  </si>
  <si>
    <t>3.3</t>
  </si>
  <si>
    <t>3.63</t>
  </si>
  <si>
    <t>3.3V IO supply voltage (VDDIO)</t>
  </si>
  <si>
    <t>VDDIO</t>
  </si>
  <si>
    <t>Pixel reset voltage (VD_RST)</t>
  </si>
  <si>
    <t>VD_RST</t>
  </si>
  <si>
    <t>2.5</t>
  </si>
  <si>
    <t>External reference clock (REFCLK)</t>
  </si>
  <si>
    <t>REFCLK</t>
  </si>
  <si>
    <t>10</t>
  </si>
  <si>
    <t>20</t>
  </si>
  <si>
    <t>40</t>
  </si>
  <si>
    <t>MHz</t>
  </si>
  <si>
    <t>SPI clock speed (S_SCLK)</t>
  </si>
  <si>
    <t>S_SCLK</t>
  </si>
  <si>
    <t>Operation temperature (junction, pre-irradiation)</t>
  </si>
  <si>
    <t>Tj</t>
  </si>
  <si>
    <t>0</t>
  </si>
  <si>
    <t>25</t>
  </si>
  <si>
    <t>85</t>
  </si>
  <si>
    <t>°C</t>
  </si>
  <si>
    <t>TRUE</t>
  </si>
  <si>
    <t>Current consumption</t>
  </si>
  <si>
    <t>VDDD current (active, FHD25 10-bit)</t>
  </si>
  <si>
    <t>I_VDDD</t>
  </si>
  <si>
    <t>205</t>
  </si>
  <si>
    <t>1000</t>
  </si>
  <si>
    <t>mA</t>
  </si>
  <si>
    <t>M0160</t>
  </si>
  <si>
    <t>T0007</t>
  </si>
  <si>
    <t>Max 1000 mA only at startup/reset</t>
  </si>
  <si>
    <t>VDDA+VDDIO+VD_RST current (active, FHD25 10-bit)</t>
  </si>
  <si>
    <t>I_VDDA (combined)</t>
  </si>
  <si>
    <t>124</t>
  </si>
  <si>
    <t>M0161</t>
  </si>
  <si>
    <t>Split over 3 PSU channels, LSL, USL of VDDA is given here</t>
  </si>
  <si>
    <t>Clocking and control signal thresholds</t>
  </si>
  <si>
    <t>External clock reference</t>
  </si>
  <si>
    <t>Fixed to 20MHz in test setup Hardware</t>
  </si>
  <si>
    <t>TRIG_IN input threshold low</t>
  </si>
  <si>
    <t>TRIG_in_l</t>
  </si>
  <si>
    <t>0.74</t>
  </si>
  <si>
    <t>1.07</t>
  </si>
  <si>
    <t>1.4</t>
  </si>
  <si>
    <t>T0004</t>
  </si>
  <si>
    <t xml:space="preserve">Pin is of type: rising edge triggered </t>
  </si>
  <si>
    <t>TRIG_IN input threshold high</t>
  </si>
  <si>
    <t>TRIG_in_h</t>
  </si>
  <si>
    <t>1.56</t>
  </si>
  <si>
    <t>1.89</t>
  </si>
  <si>
    <t>2.39</t>
  </si>
  <si>
    <t>M0006</t>
  </si>
  <si>
    <t>TRIG_IN input hysteresis</t>
  </si>
  <si>
    <t>TRIG_in_hyst</t>
  </si>
  <si>
    <t>0.66</t>
  </si>
  <si>
    <t>0.82</t>
  </si>
  <si>
    <t>1.15</t>
  </si>
  <si>
    <t>RSTB input threshold (no hysteresis)</t>
  </si>
  <si>
    <t>RSTB_th_lvl</t>
  </si>
  <si>
    <t>1.65</t>
  </si>
  <si>
    <t>M0009</t>
  </si>
  <si>
    <t>SPI interface</t>
  </si>
  <si>
    <t>SPI master clock speed</t>
  </si>
  <si>
    <t>SPI_CLK</t>
  </si>
  <si>
    <t>SPI MISO output voltage (no load)</t>
  </si>
  <si>
    <t>SPI_out</t>
  </si>
  <si>
    <t>2.97</t>
  </si>
  <si>
    <t>M0020</t>
  </si>
  <si>
    <t>T0005</t>
  </si>
  <si>
    <t>Tested with 1mA load</t>
  </si>
  <si>
    <t>SPI input threshold low</t>
  </si>
  <si>
    <t>SPI_in_l</t>
  </si>
  <si>
    <t>M0017</t>
  </si>
  <si>
    <t>s_mosi_vil (representative)</t>
  </si>
  <si>
    <t>SPI input threshold high</t>
  </si>
  <si>
    <t>SPI_in_h</t>
  </si>
  <si>
    <t>M0016</t>
  </si>
  <si>
    <t>s_mosi_vih (representative)</t>
  </si>
  <si>
    <t>SPI input hysteresis</t>
  </si>
  <si>
    <t>SPI_in_hyst</t>
  </si>
  <si>
    <t>M0018</t>
  </si>
  <si>
    <t>s_mosi_hysteresis (representative)</t>
  </si>
  <si>
    <t>Digital video output interface</t>
  </si>
  <si>
    <t>VOH (no resistive load)</t>
  </si>
  <si>
    <t>VOH</t>
  </si>
  <si>
    <t>VOL (no resistive load)</t>
  </si>
  <si>
    <t>VOL</t>
  </si>
  <si>
    <t>0 (gnd)</t>
  </si>
  <si>
    <t>M0019</t>
  </si>
  <si>
    <t>Pixel output clock speed</t>
  </si>
  <si>
    <t>PIXCLK_speed</t>
  </si>
  <si>
    <t>50</t>
  </si>
  <si>
    <t>100</t>
  </si>
  <si>
    <t>M0130</t>
  </si>
  <si>
    <t>T0024</t>
  </si>
  <si>
    <t>Only tested at speed during characterization (FHD30 mode), production testing uses FHD10, HD40 and VGA50 mode what is at half of the max speed</t>
  </si>
  <si>
    <t>Data output line speed</t>
  </si>
  <si>
    <t>DV_X_speed</t>
  </si>
  <si>
    <t>Analog signals</t>
  </si>
  <si>
    <t>Bandgap reference voltage (VDD12BG)</t>
  </si>
  <si>
    <t>Vvdd12bg</t>
  </si>
  <si>
    <t>1.14</t>
  </si>
  <si>
    <t>1.2</t>
  </si>
  <si>
    <t>1.26</t>
  </si>
  <si>
    <t>M0048</t>
  </si>
  <si>
    <t>T0010</t>
  </si>
  <si>
    <t>Radiation hardness</t>
  </si>
  <si>
    <t>Total Ionizing Dose (TID)</t>
  </si>
  <si>
    <t>&gt; 1 MGy</t>
  </si>
  <si>
    <t>Si</t>
  </si>
  <si>
    <t>By design + lot acceptance</t>
  </si>
  <si>
    <t>Single Event Effects (SEE)</t>
  </si>
  <si>
    <t>&gt; 62.5</t>
  </si>
  <si>
    <t>MeV.cm²/mg</t>
  </si>
  <si>
    <t>By design</t>
  </si>
  <si>
    <t>Electro-optical characteristics</t>
  </si>
  <si>
    <t>Effective number of pixels</t>
  </si>
  <si>
    <t>1920 (H) x 1080 (V)</t>
  </si>
  <si>
    <t>Guaranteed by design</t>
  </si>
  <si>
    <t>Pixel size</t>
  </si>
  <si>
    <t>5um x 5um</t>
  </si>
  <si>
    <t>Number of black rows</t>
  </si>
  <si>
    <t>64</t>
  </si>
  <si>
    <t>Shutter type</t>
  </si>
  <si>
    <t>Rolling shutter</t>
  </si>
  <si>
    <t>Saturation limit</t>
  </si>
  <si>
    <t>e-</t>
  </si>
  <si>
    <t>M3805</t>
  </si>
  <si>
    <t>T0038</t>
  </si>
  <si>
    <t>Typical pre-irrad value. Related to design target full-well charge. Tested only during characterization</t>
  </si>
  <si>
    <t>Conversion gain</t>
  </si>
  <si>
    <t>mV/e-</t>
  </si>
  <si>
    <t>M3802</t>
  </si>
  <si>
    <t>System gain (K)</t>
  </si>
  <si>
    <t>DN_10bit/e-</t>
  </si>
  <si>
    <t>M3804</t>
  </si>
  <si>
    <t>10-bit equivalent. K = conversion gain / ADC gain</t>
  </si>
  <si>
    <t>Read noise</t>
  </si>
  <si>
    <t>M3812</t>
  </si>
  <si>
    <t>Dynamic range</t>
  </si>
  <si>
    <t>62</t>
  </si>
  <si>
    <t>dB</t>
  </si>
  <si>
    <t>M3807</t>
  </si>
  <si>
    <t>SNR_MAX</t>
  </si>
  <si>
    <t>M3806</t>
  </si>
  <si>
    <t>Dark current (DC)</t>
  </si>
  <si>
    <t>e-/s/px</t>
  </si>
  <si>
    <t>M3813</t>
  </si>
  <si>
    <t>Dark current non uniformity (DCNU)</t>
  </si>
  <si>
    <t>M3815</t>
  </si>
  <si>
    <t>Dark signal non uniformity (DSNU)</t>
  </si>
  <si>
    <t>M3808</t>
  </si>
  <si>
    <t>Measured after Column FPN (CFPN) correction</t>
  </si>
  <si>
    <t>Photo response non uniformity (PRNU)</t>
  </si>
  <si>
    <t>% of mean</t>
  </si>
  <si>
    <t>M3809</t>
  </si>
  <si>
    <t>Measured after Column FPN (CFPN) correction at 50% dynamic range</t>
  </si>
  <si>
    <t>Column Fixed-Pattern Noise (CFPN)</t>
  </si>
  <si>
    <t>DN_10bit</t>
  </si>
  <si>
    <t>M3818</t>
  </si>
  <si>
    <t>10-bit equivalent.</t>
  </si>
  <si>
    <t>Color filters</t>
  </si>
  <si>
    <t>BayerRG (Bayer RGGB)</t>
  </si>
  <si>
    <t>Programmable features</t>
  </si>
  <si>
    <t>Sensor parameters</t>
  </si>
  <si>
    <t>Features are tested during characterization: Exposure time, sub-sampling, X-Y mirroring, ADC resolution</t>
  </si>
  <si>
    <t>ADC resolution</t>
  </si>
  <si>
    <t>10 and 12 bit</t>
  </si>
  <si>
    <t>Interface</t>
  </si>
  <si>
    <t>10/12b parallel output</t>
  </si>
  <si>
    <t>Fixed to 10b for all tests</t>
  </si>
  <si>
    <t>Cover glass lid</t>
  </si>
  <si>
    <t>Corning 7980 0F</t>
  </si>
  <si>
    <t>Chapter 7 Configuration File — README</t>
  </si>
  <si>
    <t>This workbook controls which parameters appear in Chapter 7 of the</t>
  </si>
  <si>
    <t>Vision Series Test Plan.  One sheet per product.</t>
  </si>
  <si>
    <t>COLUMN DESCRIPTIONS (IC sheets: CXP00002, IMG002X1, PSU00001):</t>
  </si>
  <si>
    <t xml:space="preserve">  Include        → TRUE to include this row in the report, FALSE to exclude</t>
  </si>
  <si>
    <t xml:space="preserve">  Section        → Category group (renders as bold header in the report table)</t>
  </si>
  <si>
    <t xml:space="preserve">  Parameter      → Human-readable parameter name shown in the report</t>
  </si>
  <si>
    <t xml:space="preserve">  Datasheet_Label→ Label as it appears in the product datasheet</t>
  </si>
  <si>
    <t xml:space="preserve">  DS_Min/Typ/Max → Values from the product datasheet (BLUE header)</t>
  </si>
  <si>
    <t xml:space="preserve">  Unit           → Measurement unit</t>
  </si>
  <si>
    <t xml:space="preserve">  Mxxxx          → Measurement ID in the check_limits database (editable!)</t>
  </si>
  <si>
    <t xml:space="preserve">  Test_Proc      → Test procedure reference (Txxxx or Functional/VER/etc.)</t>
  </si>
  <si>
    <t xml:space="preserve">  LSL            → Lower Specification Limit from check_limits (ORANGE header)</t>
  </si>
  <si>
    <t xml:space="preserve">  USL            → Upper Specification Limit from check_limits (ORANGE header)</t>
  </si>
  <si>
    <t xml:space="preserve">  Comment        → Free-text note shown in the report Comment column</t>
  </si>
  <si>
    <t>VIS100xx sheet has no Mxxxx/LSL/USL columns (module-level functional test).</t>
  </si>
  <si>
    <t>HOW TO UPDATE:</t>
  </si>
  <si>
    <t xml:space="preserve">  1. Set Include=FALSE for any parameter you want to hide from the report.</t>
  </si>
  <si>
    <t xml:space="preserve">  2. Change the Mxxxx column to fix an incorrect measurement ID.</t>
  </si>
  <si>
    <t xml:space="preserve">  3. Edit LSL/USL if the auto-populated values need correction.</t>
  </si>
  <si>
    <t xml:space="preserve">  4. Add a Comment to explain why a parameter has no Mxxxx, is covered by</t>
  </si>
  <si>
    <t xml:space="preserve">     another measurement, or any other note you want in the report.</t>
  </si>
  <si>
    <t xml:space="preserve">  5. You can add new rows — just fill in all columns and set Include=TRUE.</t>
  </si>
  <si>
    <t xml:space="preserve">  6. You can reorder rows by cut-pasting — the section grouping is driven</t>
  </si>
  <si>
    <t xml:space="preserve">     by the Section column, not by row position.</t>
  </si>
  <si>
    <t>WHEN DONE EDITING:</t>
  </si>
  <si>
    <t xml:space="preserve">  Save this file, then run:</t>
  </si>
  <si>
    <t xml:space="preserve">    python chapter7_config_manager.py report</t>
  </si>
  <si>
    <t xml:space="preserve">  This will update Vision_Series_Test_Plan.md Chapter 7 and regenerate</t>
  </si>
  <si>
    <t xml:space="preserve">  the Word document.</t>
  </si>
  <si>
    <t>COLOR LEGEND:</t>
  </si>
  <si>
    <t xml:space="preserve">  Blue header columns  (DS_Min/Typ/Max) → values from the DATASHEET</t>
  </si>
  <si>
    <t xml:space="preserve">  Orange header columns (LSL/USL)        → values from CHECK_LIMITS tester DB</t>
  </si>
  <si>
    <t xml:space="preserve">  Grey rows                              → section headers (category grouping)</t>
  </si>
  <si>
    <t>VDD3V3 supply voltage</t>
  </si>
  <si>
    <t>VDD3V3</t>
  </si>
  <si>
    <t>Operation temperature (junction)</t>
  </si>
  <si>
    <t>-40</t>
  </si>
  <si>
    <t>3.3V total supply current (average)</t>
  </si>
  <si>
    <t>IVDD3V3_TOTAL_AVG</t>
  </si>
  <si>
    <t>82.35</t>
  </si>
  <si>
    <t xml:space="preserve">Sum of analog + digital </t>
  </si>
  <si>
    <t>3.3V digital supply current (average)</t>
  </si>
  <si>
    <t>IVDD3V3_DIG_AVG</t>
  </si>
  <si>
    <t>14.45</t>
  </si>
  <si>
    <t>18.6</t>
  </si>
  <si>
    <t>28</t>
  </si>
  <si>
    <t>M0041</t>
  </si>
  <si>
    <t>Channel combines DIG+PLL</t>
  </si>
  <si>
    <t>3.3V analog supply current (average)</t>
  </si>
  <si>
    <t>IVDD3V3_ANA_AVG</t>
  </si>
  <si>
    <t>49.8</t>
  </si>
  <si>
    <t>M0035</t>
  </si>
  <si>
    <t>Active mode measurement</t>
  </si>
  <si>
    <t>3.3V PLL supply current (average)</t>
  </si>
  <si>
    <t>IVDD3V3_PLL_AVG</t>
  </si>
  <si>
    <t>13.93</t>
  </si>
  <si>
    <t>Included in DIG, no separate Power supply channel</t>
  </si>
  <si>
    <t>Power consumption</t>
  </si>
  <si>
    <t>Total power consumption</t>
  </si>
  <si>
    <t>271.55</t>
  </si>
  <si>
    <t>mW</t>
  </si>
  <si>
    <t>Derived from IDD x VDD</t>
  </si>
  <si>
    <t>Logic level inputs (GPIO)</t>
  </si>
  <si>
    <t>VIL (GPIO input low threshold)</t>
  </si>
  <si>
    <t>VIL</t>
  </si>
  <si>
    <t>390</t>
  </si>
  <si>
    <t>470</t>
  </si>
  <si>
    <t>635</t>
  </si>
  <si>
    <t>mV</t>
  </si>
  <si>
    <t>VIH (GPIO input high threshold)</t>
  </si>
  <si>
    <t>VIH</t>
  </si>
  <si>
    <t>443</t>
  </si>
  <si>
    <t>550</t>
  </si>
  <si>
    <t>715</t>
  </si>
  <si>
    <t>Hysteresis (GPIO)</t>
  </si>
  <si>
    <t>Hysteresis</t>
  </si>
  <si>
    <t>38</t>
  </si>
  <si>
    <t>80</t>
  </si>
  <si>
    <t>117</t>
  </si>
  <si>
    <t>Logic level inputs (Video pins)</t>
  </si>
  <si>
    <t>VIL (Video input low threshold)</t>
  </si>
  <si>
    <t>1.147</t>
  </si>
  <si>
    <t>1.328</t>
  </si>
  <si>
    <t>1.689</t>
  </si>
  <si>
    <t>VIH (Video input high threshold)</t>
  </si>
  <si>
    <t>1.482</t>
  </si>
  <si>
    <t>1.714</t>
  </si>
  <si>
    <t>2.282</t>
  </si>
  <si>
    <t>Hysteresis (Video)</t>
  </si>
  <si>
    <t>309</t>
  </si>
  <si>
    <t>387</t>
  </si>
  <si>
    <t>593</t>
  </si>
  <si>
    <t>M0021</t>
  </si>
  <si>
    <t>Digital output levels (GPIO)</t>
  </si>
  <si>
    <t>VOL (GPIO output low voltage)</t>
  </si>
  <si>
    <t>300</t>
  </si>
  <si>
    <t>M0029</t>
  </si>
  <si>
    <t>VOH (GPIO output high voltage)</t>
  </si>
  <si>
    <t>VDD-0.3</t>
  </si>
  <si>
    <t>M0030</t>
  </si>
  <si>
    <t>IOL (GPIO output low current)</t>
  </si>
  <si>
    <t>IOL</t>
  </si>
  <si>
    <t>M0031</t>
  </si>
  <si>
    <t>T0006</t>
  </si>
  <si>
    <t>IOH (GPIO output high current)</t>
  </si>
  <si>
    <t>IOH</t>
  </si>
  <si>
    <t>-20</t>
  </si>
  <si>
    <t>M0032</t>
  </si>
  <si>
    <t>Data rates</t>
  </si>
  <si>
    <t>Parallel video data rate</t>
  </si>
  <si>
    <t>DRin,par</t>
  </si>
  <si>
    <t>M0156</t>
  </si>
  <si>
    <t>T0023</t>
  </si>
  <si>
    <t>Functional test</t>
  </si>
  <si>
    <t>Downlink data rate (CXP)</t>
  </si>
  <si>
    <t>DRdown</t>
  </si>
  <si>
    <t>1.25</t>
  </si>
  <si>
    <t>Gbps</t>
  </si>
  <si>
    <t>T0022/T0023</t>
  </si>
  <si>
    <t>Uplink data rate (CXP)</t>
  </si>
  <si>
    <t>DRup</t>
  </si>
  <si>
    <t>20.833</t>
  </si>
  <si>
    <t>Mbps</t>
  </si>
  <si>
    <t>T0020/T0021</t>
  </si>
  <si>
    <t>Transceiver load impedance</t>
  </si>
  <si>
    <t>ZL</t>
  </si>
  <si>
    <t>75</t>
  </si>
  <si>
    <t>Ω</t>
  </si>
  <si>
    <t>Crystal oscillator</t>
  </si>
  <si>
    <t>Crystal frequency</t>
  </si>
  <si>
    <t>fXTAL</t>
  </si>
  <si>
    <t>M0131</t>
  </si>
  <si>
    <t>T0013</t>
  </si>
  <si>
    <t>CAM LDO outputs</t>
  </si>
  <si>
    <t>VDD1V8_CAM supply voltage</t>
  </si>
  <si>
    <t>V_VDD1V8_CAM</t>
  </si>
  <si>
    <t>1.7</t>
  </si>
  <si>
    <t>1.9</t>
  </si>
  <si>
    <t>M0214</t>
  </si>
  <si>
    <t>T0012</t>
  </si>
  <si>
    <t>VDD1V8_CAM load current</t>
  </si>
  <si>
    <t>I_VDD1V8_CAM</t>
  </si>
  <si>
    <t>VDD1V2_CAM reference voltage</t>
  </si>
  <si>
    <t>V_VDD1V2_CAM</t>
  </si>
  <si>
    <t>M0109</t>
  </si>
  <si>
    <t>T0011</t>
  </si>
  <si>
    <t>&gt; 1 MGy (100 Mrad)</t>
  </si>
  <si>
    <t>&gt; 60</t>
  </si>
  <si>
    <t>Input voltage (PVin, Vin)</t>
  </si>
  <si>
    <t>PVin, Vin</t>
  </si>
  <si>
    <t>5</t>
  </si>
  <si>
    <t>11</t>
  </si>
  <si>
    <t>Output voltage (Vout)</t>
  </si>
  <si>
    <t>Vout</t>
  </si>
  <si>
    <t>0.9</t>
  </si>
  <si>
    <t>Output current (active cooling)</t>
  </si>
  <si>
    <t>Iout</t>
  </si>
  <si>
    <t>4</t>
  </si>
  <si>
    <t>A</t>
  </si>
  <si>
    <t>Switching frequency</t>
  </si>
  <si>
    <t>fsw</t>
  </si>
  <si>
    <t>1.5</t>
  </si>
  <si>
    <t>2</t>
  </si>
  <si>
    <t>Power</t>
  </si>
  <si>
    <t>Input current (control, disabled)</t>
  </si>
  <si>
    <t>Iin</t>
  </si>
  <si>
    <t>Power short input</t>
  </si>
  <si>
    <t>-10</t>
  </si>
  <si>
    <t>M0001</t>
  </si>
  <si>
    <t>T0001</t>
  </si>
  <si>
    <t>Power short output</t>
  </si>
  <si>
    <t>M0002</t>
  </si>
  <si>
    <t>T0002</t>
  </si>
  <si>
    <t>Enable</t>
  </si>
  <si>
    <t>Enable start threshold (VIH)</t>
  </si>
  <si>
    <t>EnStartTh</t>
  </si>
  <si>
    <t>0.77</t>
  </si>
  <si>
    <t>0.815</t>
  </si>
  <si>
    <t>0.90</t>
  </si>
  <si>
    <t>M0007</t>
  </si>
  <si>
    <t>Enable stop threshold (VIL)</t>
  </si>
  <si>
    <t>EnStopTh</t>
  </si>
  <si>
    <t>0.67</t>
  </si>
  <si>
    <t>0.73</t>
  </si>
  <si>
    <t>0.78</t>
  </si>
  <si>
    <t>M0008</t>
  </si>
  <si>
    <t>Enable hysteresis</t>
  </si>
  <si>
    <t>Hyst</t>
  </si>
  <si>
    <t>0.05</t>
  </si>
  <si>
    <t>Inv_Enable functionality</t>
  </si>
  <si>
    <t>Pass</t>
  </si>
  <si>
    <t>M0025</t>
  </si>
  <si>
    <t>Functional pass/fail</t>
  </si>
  <si>
    <t>Input leakage</t>
  </si>
  <si>
    <t>Input leakage low (IIL)</t>
  </si>
  <si>
    <t>IIL</t>
  </si>
  <si>
    <t>-30</t>
  </si>
  <si>
    <t>uA</t>
  </si>
  <si>
    <t>M0005</t>
  </si>
  <si>
    <t>Input leakage high (IIH)</t>
  </si>
  <si>
    <t>IIH</t>
  </si>
  <si>
    <t>15</t>
  </si>
  <si>
    <t>Power-good output</t>
  </si>
  <si>
    <t>PGood output Ron</t>
  </si>
  <si>
    <t>Ron</t>
  </si>
  <si>
    <t>3500</t>
  </si>
  <si>
    <t>10000</t>
  </si>
  <si>
    <t>Ohm</t>
  </si>
  <si>
    <t>PGood output IOL</t>
  </si>
  <si>
    <t>M0010</t>
  </si>
  <si>
    <t>PGood output IOH</t>
  </si>
  <si>
    <t>M0011</t>
  </si>
  <si>
    <t>On-chip regulator</t>
  </si>
  <si>
    <t>V33Dr load regulation</t>
  </si>
  <si>
    <t>K_50mA</t>
  </si>
  <si>
    <t>mV/mA</t>
  </si>
  <si>
    <t>M0012</t>
  </si>
  <si>
    <t>T0008</t>
  </si>
  <si>
    <t>V33Dr voltage</t>
  </si>
  <si>
    <t>v33dr</t>
  </si>
  <si>
    <t>3.66</t>
  </si>
  <si>
    <t>M0036</t>
  </si>
  <si>
    <t>Bandgap reference voltage</t>
  </si>
  <si>
    <t>V_BGR</t>
  </si>
  <si>
    <t>0.57</t>
  </si>
  <si>
    <t>0.60</t>
  </si>
  <si>
    <t>0.63</t>
  </si>
  <si>
    <t>M0015</t>
  </si>
  <si>
    <t>Under-voltage lockout</t>
  </si>
  <si>
    <t>UVLO high threshold (Vin rising)</t>
  </si>
  <si>
    <t>VinStartTh</t>
  </si>
  <si>
    <t>4.40</t>
  </si>
  <si>
    <t>4.79</t>
  </si>
  <si>
    <t>4.80</t>
  </si>
  <si>
    <t>M0013</t>
  </si>
  <si>
    <t>T0009</t>
  </si>
  <si>
    <t>UVLO low threshold (Vin falling)</t>
  </si>
  <si>
    <t>VinStopTh</t>
  </si>
  <si>
    <t>4.12</t>
  </si>
  <si>
    <t>4.52</t>
  </si>
  <si>
    <t>4.53</t>
  </si>
  <si>
    <t>M0014</t>
  </si>
  <si>
    <t>UVLO hysteresis</t>
  </si>
  <si>
    <t>UVLO_hyst</t>
  </si>
  <si>
    <t>0.10</t>
  </si>
  <si>
    <t>M0037</t>
  </si>
  <si>
    <t>Output voltage monitor (PGood thresholds)</t>
  </si>
  <si>
    <t>PGood rise threshold low</t>
  </si>
  <si>
    <t>VTH_PGOOD_RISE_L</t>
  </si>
  <si>
    <t>0.52</t>
  </si>
  <si>
    <t>0.561</t>
  </si>
  <si>
    <t>PGood fall threshold low</t>
  </si>
  <si>
    <t>VTH_PGOOD_FALL_L</t>
  </si>
  <si>
    <t>PGood rise threshold high</t>
  </si>
  <si>
    <t>VTH_PGOOD_RISE_H</t>
  </si>
  <si>
    <t>0.639</t>
  </si>
  <si>
    <t>0.68</t>
  </si>
  <si>
    <t>PGood fall threshold high</t>
  </si>
  <si>
    <t>VTH_PGOOD_FALL_H</t>
  </si>
  <si>
    <t>Under-voltage PGood threshold</t>
  </si>
  <si>
    <t>UV</t>
  </si>
  <si>
    <t>-10.5</t>
  </si>
  <si>
    <t>-6.5</t>
  </si>
  <si>
    <t>-2.5</t>
  </si>
  <si>
    <t>%</t>
  </si>
  <si>
    <t>M0038</t>
  </si>
  <si>
    <t>Over-voltage PGood threshold</t>
  </si>
  <si>
    <t>OV</t>
  </si>
  <si>
    <t>6.5</t>
  </si>
  <si>
    <t>10.5</t>
  </si>
  <si>
    <t>M0039</t>
  </si>
  <si>
    <t>Over-temperature protection</t>
  </si>
  <si>
    <t>PTAT voltage (at 25°C)</t>
  </si>
  <si>
    <t>V_PTAT</t>
  </si>
  <si>
    <t>0.20</t>
  </si>
  <si>
    <t>0.80</t>
  </si>
  <si>
    <t>M0022</t>
  </si>
  <si>
    <t>Startup behaviour</t>
  </si>
  <si>
    <t>Startup output voltage</t>
  </si>
  <si>
    <t>V_start</t>
  </si>
  <si>
    <t>M0023</t>
  </si>
  <si>
    <t>Startup time</t>
  </si>
  <si>
    <t>T_start</t>
  </si>
  <si>
    <t>ms</t>
  </si>
  <si>
    <t>M0024</t>
  </si>
  <si>
    <t>Line regulation</t>
  </si>
  <si>
    <t>Line regulation delta</t>
  </si>
  <si>
    <t>V_LINE_DELTA</t>
  </si>
  <si>
    <t>0.04</t>
  </si>
  <si>
    <t>M0026</t>
  </si>
  <si>
    <t>T0014</t>
  </si>
  <si>
    <t>Load regulation</t>
  </si>
  <si>
    <t>Load regulation delta</t>
  </si>
  <si>
    <t>V_LOAD_DELTA</t>
  </si>
  <si>
    <t>0.40</t>
  </si>
  <si>
    <t>M0027</t>
  </si>
  <si>
    <t>T0015</t>
  </si>
  <si>
    <t>Efficiency</t>
  </si>
  <si>
    <t>Efficiency (at 0.5A load)</t>
  </si>
  <si>
    <t>EFFICIENCY</t>
  </si>
  <si>
    <t>35</t>
  </si>
  <si>
    <t>M0028</t>
  </si>
  <si>
    <t>T0016</t>
  </si>
  <si>
    <t>Tested free of destructive SEEs</t>
  </si>
  <si>
    <t>Conversion ratio</t>
  </si>
  <si>
    <t>Vout/Vin</t>
  </si>
  <si>
    <t>Output power (active cooling)</t>
  </si>
  <si>
    <t>Pout</t>
  </si>
  <si>
    <t>W</t>
  </si>
  <si>
    <t>Cooling plate temperature</t>
  </si>
  <si>
    <t>Tcoolingpad</t>
  </si>
  <si>
    <t>30</t>
  </si>
  <si>
    <t>HalfSw threshold current</t>
  </si>
  <si>
    <t>Iout_halfsw</t>
  </si>
  <si>
    <t>600</t>
  </si>
  <si>
    <t>800</t>
  </si>
  <si>
    <t>Inductor value</t>
  </si>
  <si>
    <t>L</t>
  </si>
  <si>
    <t>400</t>
  </si>
  <si>
    <t>500</t>
  </si>
  <si>
    <t>nH</t>
  </si>
  <si>
    <t>Enable voltage</t>
  </si>
  <si>
    <t>Ven</t>
  </si>
  <si>
    <t>Power Good voltage</t>
  </si>
  <si>
    <t>Vpgood</t>
  </si>
  <si>
    <t>Input voltage supply range</t>
  </si>
  <si>
    <t>Test condition</t>
  </si>
  <si>
    <t>Output current (PCB in air)</t>
  </si>
  <si>
    <t>1</t>
  </si>
  <si>
    <t>Output power (PCB in air)</t>
  </si>
  <si>
    <t>PWM</t>
  </si>
  <si>
    <t>Maximum Duty Cycle</t>
  </si>
  <si>
    <t>DMax</t>
  </si>
  <si>
    <t>Cannot be measured, sensitive node</t>
  </si>
  <si>
    <t>Minimum Duty Cycle</t>
  </si>
  <si>
    <t>DMin</t>
  </si>
  <si>
    <t>Error Amplifier</t>
  </si>
  <si>
    <t>DC Gain</t>
  </si>
  <si>
    <t>DCG</t>
  </si>
  <si>
    <t>90</t>
  </si>
  <si>
    <t>Unity Gain-Bandwidth</t>
  </si>
  <si>
    <t>UGBW</t>
  </si>
  <si>
    <t>Slew Rate</t>
  </si>
  <si>
    <t>SR</t>
  </si>
  <si>
    <t>V/us</t>
  </si>
  <si>
    <t>Under-Voltage Lockout</t>
  </si>
  <si>
    <t>Vin start threshold</t>
  </si>
  <si>
    <t>Vin stop threshold</t>
  </si>
  <si>
    <t>Enable start threshold</t>
  </si>
  <si>
    <t>815</t>
  </si>
  <si>
    <t>Enable stop threshold</t>
  </si>
  <si>
    <t>730</t>
  </si>
  <si>
    <t>Enable pin series resistance</t>
  </si>
  <si>
    <t>EnSerRes</t>
  </si>
  <si>
    <t>kΩ</t>
  </si>
  <si>
    <t>Protections</t>
  </si>
  <si>
    <t>Over Current Protection peak level</t>
  </si>
  <si>
    <t>OCPpk</t>
  </si>
  <si>
    <t>6</t>
  </si>
  <si>
    <t>Cannot be triggered with test setup, functionality of OCP is not covered within test plan</t>
  </si>
  <si>
    <t>Over Current Protection average level</t>
  </si>
  <si>
    <t>OCPavg</t>
  </si>
  <si>
    <t>4.8</t>
  </si>
  <si>
    <t>Over Temperature start threshold</t>
  </si>
  <si>
    <t>OTPStartTh</t>
  </si>
  <si>
    <t>103</t>
  </si>
  <si>
    <t>Only tested during characterization</t>
  </si>
  <si>
    <t>Over Temperature stop threshold</t>
  </si>
  <si>
    <t>OTPStopTh</t>
  </si>
  <si>
    <t>73</t>
  </si>
  <si>
    <t>Soft Start</t>
  </si>
  <si>
    <t>Soft Start duration</t>
  </si>
  <si>
    <t>SSt</t>
  </si>
  <si>
    <t>440</t>
  </si>
  <si>
    <t>us</t>
  </si>
  <si>
    <t>Power Good</t>
  </si>
  <si>
    <t>Output Over Voltage PGood threshold</t>
  </si>
  <si>
    <t>+6.5</t>
  </si>
  <si>
    <t>Output Under Voltage PGood threshold</t>
  </si>
  <si>
    <t>PTAT</t>
  </si>
  <si>
    <t>PTAT temperature slope</t>
  </si>
  <si>
    <t>8.5</t>
  </si>
  <si>
    <t>mV/°C</t>
  </si>
  <si>
    <t>Output ripple</t>
  </si>
  <si>
    <t>Peak-to-peak output ripple</t>
  </si>
  <si>
    <t>Ripple</t>
  </si>
  <si>
    <t>0.1</t>
  </si>
  <si>
    <t>T0017</t>
  </si>
  <si>
    <t>Power supply voltage</t>
  </si>
  <si>
    <t>V_SUPPLY_9V</t>
  </si>
  <si>
    <t>9</t>
  </si>
  <si>
    <t>VER</t>
  </si>
  <si>
    <t>Operation temperature (ambient)</t>
  </si>
  <si>
    <t>T_amb</t>
  </si>
  <si>
    <t>Coaxial cable impedance</t>
  </si>
  <si>
    <t>Z_cable</t>
  </si>
  <si>
    <t>Max coaxial cable attenuation @ 625 MHz</t>
  </si>
  <si>
    <t>21.2</t>
  </si>
  <si>
    <t>Max coaxial cable attenuation @ 30 MHz</t>
  </si>
  <si>
    <t>4.74</t>
  </si>
  <si>
    <t>Recommended exposure time</t>
  </si>
  <si>
    <t>t_exp</t>
  </si>
  <si>
    <t>Electrical characteristics</t>
  </si>
  <si>
    <t>Module supply current</t>
  </si>
  <si>
    <t>I_SUPPLY_9V</t>
  </si>
  <si>
    <t>160</t>
  </si>
  <si>
    <t>257</t>
  </si>
  <si>
    <t>AC output impedance (HD-BNC)</t>
  </si>
  <si>
    <t>Z_out_AC</t>
  </si>
  <si>
    <t>Integrated components</t>
  </si>
  <si>
    <t>Image sensor</t>
  </si>
  <si>
    <t>MAG-IMG002X1-NC</t>
  </si>
  <si>
    <t>CoaXPress serializer</t>
  </si>
  <si>
    <t>MAG-CXP00002-NP</t>
  </si>
  <si>
    <t>DC/DC converters</t>
  </si>
  <si>
    <t>2x MAG-PSU00001-NP</t>
  </si>
  <si>
    <t>Typical pre-irrad value (0 Gy TID, 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</si>
</sst>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onsolas"/>
      <family val="3"/>
    </font>
    <font>
      <b/>
      <sz val="14"/>
      <name val="Consolas"/>
      <family val="3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2" fillId="0" borderId="1" xfId="0" applyFont="1" applyBorder="1"/>
    <xf numFmtId="0" fontId="2" fillId="0" borderId="2" xfId="0" applyFont="1" applyBorder="1"/>
    <xf numFmtId="0" fontId="6" fillId="0" borderId="3" xfId="0" applyFont="1" applyBorder="1"/>
    <xf numFmtId="0" fontId="0" fillId="0" borderId="3" xfId="0" applyBorder="1"/>
    <xf numFmtId="0" fontId="6" fillId="6" borderId="3" xfId="0" applyFont="1" applyFill="1" applyBorder="1"/>
    <xf numFmtId="0" fontId="7" fillId="6" borderId="3" xfId="0" applyFont="1" applyFill="1" applyBorder="1"/>
    <xf numFmtId="0" fontId="0" fillId="6" borderId="3" xfId="0" applyFill="1" applyBorder="1"/>
    <xf numFmtId="0" fontId="2" fillId="0" borderId="3" xfId="0" applyFont="1" applyBorder="1"/>
    <xf numFmtId="0" fontId="3" fillId="6" borderId="3" xfId="0" applyFont="1" applyFill="1" applyBorder="1"/>
    <xf numFmtId="0" fontId="8" fillId="0" borderId="1" xfId="0" applyFont="1" applyBorder="1"/>
    <xf numFmtId="0" fontId="9" fillId="7" borderId="4" xfId="0" applyFont="1" applyFill="1" applyBorder="1"/>
    <xf numFmtId="0" fontId="10" fillId="7" borderId="4" xfId="0" applyFont="1" applyFill="1" applyBorder="1"/>
    <xf numFmtId="0" fontId="0" fillId="7" borderId="4" xfId="0" applyFill="1" applyBorder="1"/>
    <xf numFmtId="0" fontId="9" fillId="0" borderId="4" xfId="0" applyFont="1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 applyAlignment="1">
      <alignment wrapText="1"/>
    </xf>
    <xf numFmtId="0" fontId="9" fillId="0" borderId="6" xfId="0" applyFont="1" applyBorder="1"/>
    <xf numFmtId="0" fontId="0" fillId="0" borderId="6" xfId="0" applyBorder="1"/>
    <xf numFmtId="0" fontId="0" fillId="0" borderId="6" xfId="0" applyBorder="1" applyAlignment="1">
      <alignment wrapText="1"/>
    </xf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workbookViewId="0"/>
  </sheetViews>
  <sheetFormatPr defaultRowHeight="15" x14ac:dyDescent="0.25"/>
  <cols>
    <col min="1" max="1" width="90" customWidth="1"/>
  </cols>
  <sheetData>
    <row r="1" spans="1:1" ht="18.75" customHeight="1" x14ac:dyDescent="0.3">
      <c r="A1" s="1" t="s">
        <v>196</v>
      </c>
    </row>
    <row r="2" spans="1:1" x14ac:dyDescent="0.25">
      <c r="A2" s="2"/>
    </row>
    <row r="3" spans="1:1" x14ac:dyDescent="0.25">
      <c r="A3" s="2" t="s">
        <v>197</v>
      </c>
    </row>
    <row r="4" spans="1:1" x14ac:dyDescent="0.25">
      <c r="A4" s="2" t="s">
        <v>198</v>
      </c>
    </row>
    <row r="5" spans="1:1" x14ac:dyDescent="0.25">
      <c r="A5" s="2"/>
    </row>
    <row r="6" spans="1:1" x14ac:dyDescent="0.25">
      <c r="A6" s="2" t="s">
        <v>199</v>
      </c>
    </row>
    <row r="7" spans="1:1" x14ac:dyDescent="0.25">
      <c r="A7" s="2" t="s">
        <v>200</v>
      </c>
    </row>
    <row r="8" spans="1:1" x14ac:dyDescent="0.25">
      <c r="A8" s="2" t="s">
        <v>201</v>
      </c>
    </row>
    <row r="9" spans="1:1" x14ac:dyDescent="0.25">
      <c r="A9" s="2" t="s">
        <v>202</v>
      </c>
    </row>
    <row r="10" spans="1:1" x14ac:dyDescent="0.25">
      <c r="A10" s="2" t="s">
        <v>203</v>
      </c>
    </row>
    <row r="11" spans="1:1" x14ac:dyDescent="0.25">
      <c r="A11" s="2" t="s">
        <v>204</v>
      </c>
    </row>
    <row r="12" spans="1:1" x14ac:dyDescent="0.25">
      <c r="A12" s="2" t="s">
        <v>205</v>
      </c>
    </row>
    <row r="13" spans="1:1" x14ac:dyDescent="0.25">
      <c r="A13" s="2" t="s">
        <v>206</v>
      </c>
    </row>
    <row r="14" spans="1:1" x14ac:dyDescent="0.25">
      <c r="A14" s="2" t="s">
        <v>207</v>
      </c>
    </row>
    <row r="15" spans="1:1" x14ac:dyDescent="0.25">
      <c r="A15" s="2" t="s">
        <v>208</v>
      </c>
    </row>
    <row r="16" spans="1:1" x14ac:dyDescent="0.25">
      <c r="A16" s="2" t="s">
        <v>209</v>
      </c>
    </row>
    <row r="17" spans="1:1" x14ac:dyDescent="0.25">
      <c r="A17" s="2" t="s">
        <v>210</v>
      </c>
    </row>
    <row r="18" spans="1:1" x14ac:dyDescent="0.25">
      <c r="A18" s="2"/>
    </row>
    <row r="19" spans="1:1" x14ac:dyDescent="0.25">
      <c r="A19" s="2" t="s">
        <v>211</v>
      </c>
    </row>
    <row r="20" spans="1:1" x14ac:dyDescent="0.25">
      <c r="A20" s="2"/>
    </row>
    <row r="21" spans="1:1" x14ac:dyDescent="0.25">
      <c r="A21" s="2" t="s">
        <v>212</v>
      </c>
    </row>
    <row r="22" spans="1:1" x14ac:dyDescent="0.25">
      <c r="A22" s="2" t="s">
        <v>213</v>
      </c>
    </row>
    <row r="23" spans="1:1" x14ac:dyDescent="0.25">
      <c r="A23" s="2" t="s">
        <v>214</v>
      </c>
    </row>
    <row r="24" spans="1:1" x14ac:dyDescent="0.25">
      <c r="A24" s="2" t="s">
        <v>215</v>
      </c>
    </row>
    <row r="25" spans="1:1" x14ac:dyDescent="0.25">
      <c r="A25" s="2" t="s">
        <v>216</v>
      </c>
    </row>
    <row r="26" spans="1:1" x14ac:dyDescent="0.25">
      <c r="A26" s="2" t="s">
        <v>217</v>
      </c>
    </row>
    <row r="27" spans="1:1" x14ac:dyDescent="0.25">
      <c r="A27" s="2" t="s">
        <v>218</v>
      </c>
    </row>
    <row r="28" spans="1:1" x14ac:dyDescent="0.25">
      <c r="A28" s="2" t="s">
        <v>219</v>
      </c>
    </row>
    <row r="29" spans="1:1" x14ac:dyDescent="0.25">
      <c r="A29" s="2" t="s">
        <v>220</v>
      </c>
    </row>
    <row r="30" spans="1:1" x14ac:dyDescent="0.25">
      <c r="A30" s="2"/>
    </row>
    <row r="31" spans="1:1" x14ac:dyDescent="0.25">
      <c r="A31" s="2" t="s">
        <v>221</v>
      </c>
    </row>
    <row r="32" spans="1:1" x14ac:dyDescent="0.25">
      <c r="A32" s="2" t="s">
        <v>222</v>
      </c>
    </row>
    <row r="33" spans="1:1" x14ac:dyDescent="0.25">
      <c r="A33" s="2" t="s">
        <v>223</v>
      </c>
    </row>
    <row r="34" spans="1:1" x14ac:dyDescent="0.25">
      <c r="A34" s="2" t="s">
        <v>224</v>
      </c>
    </row>
    <row r="35" spans="1:1" x14ac:dyDescent="0.25">
      <c r="A35" s="2" t="s">
        <v>225</v>
      </c>
    </row>
    <row r="36" spans="1:1" x14ac:dyDescent="0.25">
      <c r="A36" s="2"/>
    </row>
    <row r="37" spans="1:1" x14ac:dyDescent="0.25">
      <c r="A37" s="2" t="s">
        <v>226</v>
      </c>
    </row>
    <row r="38" spans="1:1" x14ac:dyDescent="0.25">
      <c r="A38" s="2" t="s">
        <v>227</v>
      </c>
    </row>
    <row r="39" spans="1:1" x14ac:dyDescent="0.25">
      <c r="A39" s="2" t="s">
        <v>228</v>
      </c>
    </row>
    <row r="40" spans="1:1" x14ac:dyDescent="0.25">
      <c r="A40" s="2" t="s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pane ySplit="1" topLeftCell="A26" activePane="bottomLeft" state="frozen"/>
      <selection pane="bottomLeft" activeCell="B33" sqref="B33"/>
    </sheetView>
  </sheetViews>
  <sheetFormatPr defaultRowHeight="15" x14ac:dyDescent="0.25"/>
  <cols>
    <col min="1" max="1" width="12" customWidth="1"/>
    <col min="2" max="2" width="34" bestFit="1" customWidth="1"/>
    <col min="3" max="3" width="40" customWidth="1"/>
    <col min="4" max="4" width="22" customWidth="1"/>
    <col min="5" max="7" width="14" customWidth="1"/>
    <col min="8" max="8" width="10" customWidth="1"/>
    <col min="9" max="10" width="12" customWidth="1"/>
    <col min="11" max="12" width="14" customWidth="1"/>
    <col min="13" max="13" width="50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</row>
    <row r="2" spans="1:13" x14ac:dyDescent="0.25">
      <c r="A2" s="6" t="s">
        <v>44</v>
      </c>
      <c r="B2" s="7" t="s">
        <v>13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b">
        <v>0</v>
      </c>
      <c r="B3" s="9" t="s">
        <v>13</v>
      </c>
      <c r="C3" s="9" t="s">
        <v>230</v>
      </c>
      <c r="D3" s="9" t="s">
        <v>231</v>
      </c>
      <c r="E3" s="9" t="s">
        <v>89</v>
      </c>
      <c r="F3" s="9" t="s">
        <v>23</v>
      </c>
      <c r="G3" s="9" t="s">
        <v>24</v>
      </c>
      <c r="H3" s="9" t="s">
        <v>19</v>
      </c>
      <c r="I3" s="9"/>
      <c r="J3" s="9"/>
      <c r="K3" s="9"/>
      <c r="L3" s="9"/>
      <c r="M3" s="9"/>
    </row>
    <row r="4" spans="1:13" x14ac:dyDescent="0.25">
      <c r="A4" s="9" t="b">
        <v>0</v>
      </c>
      <c r="B4" s="9" t="s">
        <v>13</v>
      </c>
      <c r="C4" s="9" t="s">
        <v>232</v>
      </c>
      <c r="D4" s="9" t="s">
        <v>39</v>
      </c>
      <c r="E4" s="9" t="s">
        <v>233</v>
      </c>
      <c r="F4" s="9"/>
      <c r="G4" s="9" t="s">
        <v>42</v>
      </c>
      <c r="H4" s="9" t="s">
        <v>43</v>
      </c>
      <c r="I4" s="9"/>
      <c r="J4" s="9"/>
      <c r="K4" s="9"/>
      <c r="L4" s="9"/>
      <c r="M4" s="9"/>
    </row>
    <row r="5" spans="1:13" x14ac:dyDescent="0.25">
      <c r="A5" s="6" t="s">
        <v>44</v>
      </c>
      <c r="B5" s="7" t="s">
        <v>45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9" t="s">
        <v>44</v>
      </c>
      <c r="B6" s="9" t="s">
        <v>45</v>
      </c>
      <c r="C6" s="9" t="s">
        <v>234</v>
      </c>
      <c r="D6" s="9" t="s">
        <v>235</v>
      </c>
      <c r="E6" s="9"/>
      <c r="F6" s="9" t="s">
        <v>236</v>
      </c>
      <c r="G6" s="9"/>
      <c r="H6" s="9" t="s">
        <v>50</v>
      </c>
      <c r="I6" s="9"/>
      <c r="J6" s="9" t="s">
        <v>52</v>
      </c>
      <c r="K6" s="9"/>
      <c r="L6" s="9"/>
      <c r="M6" s="9" t="s">
        <v>237</v>
      </c>
    </row>
    <row r="7" spans="1:13" x14ac:dyDescent="0.25">
      <c r="A7" s="9" t="s">
        <v>44</v>
      </c>
      <c r="B7" s="9" t="s">
        <v>45</v>
      </c>
      <c r="C7" s="9" t="s">
        <v>238</v>
      </c>
      <c r="D7" s="9" t="s">
        <v>239</v>
      </c>
      <c r="E7" s="9" t="s">
        <v>240</v>
      </c>
      <c r="F7" s="9" t="s">
        <v>241</v>
      </c>
      <c r="G7" s="9" t="s">
        <v>242</v>
      </c>
      <c r="H7" s="9" t="s">
        <v>50</v>
      </c>
      <c r="I7" s="9" t="s">
        <v>243</v>
      </c>
      <c r="J7" s="9" t="s">
        <v>52</v>
      </c>
      <c r="K7" s="9">
        <v>0.02</v>
      </c>
      <c r="L7" s="9">
        <v>0.1</v>
      </c>
      <c r="M7" s="9" t="s">
        <v>244</v>
      </c>
    </row>
    <row r="8" spans="1:13" x14ac:dyDescent="0.25">
      <c r="A8" s="9" t="s">
        <v>44</v>
      </c>
      <c r="B8" s="9" t="s">
        <v>45</v>
      </c>
      <c r="C8" s="9" t="s">
        <v>245</v>
      </c>
      <c r="D8" s="9" t="s">
        <v>246</v>
      </c>
      <c r="E8" s="9"/>
      <c r="F8" s="9" t="s">
        <v>247</v>
      </c>
      <c r="G8" s="9"/>
      <c r="H8" s="9" t="s">
        <v>50</v>
      </c>
      <c r="I8" s="9" t="s">
        <v>248</v>
      </c>
      <c r="J8" s="9" t="s">
        <v>52</v>
      </c>
      <c r="K8" s="9">
        <v>0.04</v>
      </c>
      <c r="L8" s="9">
        <v>0.06</v>
      </c>
      <c r="M8" s="9" t="s">
        <v>249</v>
      </c>
    </row>
    <row r="9" spans="1:13" x14ac:dyDescent="0.25">
      <c r="A9" s="9" t="s">
        <v>44</v>
      </c>
      <c r="B9" s="9" t="s">
        <v>45</v>
      </c>
      <c r="C9" s="9" t="s">
        <v>250</v>
      </c>
      <c r="D9" s="9" t="s">
        <v>251</v>
      </c>
      <c r="E9" s="9"/>
      <c r="F9" s="9" t="s">
        <v>252</v>
      </c>
      <c r="G9" s="9"/>
      <c r="H9" s="9" t="s">
        <v>50</v>
      </c>
      <c r="I9" s="9"/>
      <c r="J9" s="9" t="s">
        <v>52</v>
      </c>
      <c r="K9" s="9"/>
      <c r="L9" s="9"/>
      <c r="M9" s="9" t="s">
        <v>253</v>
      </c>
    </row>
    <row r="10" spans="1:13" x14ac:dyDescent="0.25">
      <c r="A10" s="6" t="s">
        <v>44</v>
      </c>
      <c r="B10" s="7" t="s">
        <v>254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25">
      <c r="A11" s="9" t="s">
        <v>44</v>
      </c>
      <c r="B11" s="9" t="s">
        <v>254</v>
      </c>
      <c r="C11" s="9" t="s">
        <v>255</v>
      </c>
      <c r="D11" s="9"/>
      <c r="E11" s="9"/>
      <c r="F11" s="9" t="s">
        <v>256</v>
      </c>
      <c r="G11" s="9"/>
      <c r="H11" s="9" t="s">
        <v>257</v>
      </c>
      <c r="I11" s="9"/>
      <c r="J11" s="9" t="s">
        <v>52</v>
      </c>
      <c r="K11" s="9"/>
      <c r="L11" s="9"/>
      <c r="M11" s="9" t="s">
        <v>258</v>
      </c>
    </row>
    <row r="12" spans="1:13" x14ac:dyDescent="0.25">
      <c r="A12" s="6" t="s">
        <v>44</v>
      </c>
      <c r="B12" s="7" t="s">
        <v>259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25">
      <c r="A13" s="9" t="s">
        <v>44</v>
      </c>
      <c r="B13" s="9" t="s">
        <v>259</v>
      </c>
      <c r="C13" s="9" t="s">
        <v>260</v>
      </c>
      <c r="D13" s="9" t="s">
        <v>261</v>
      </c>
      <c r="E13" s="9" t="s">
        <v>262</v>
      </c>
      <c r="F13" s="9" t="s">
        <v>263</v>
      </c>
      <c r="G13" s="9" t="s">
        <v>264</v>
      </c>
      <c r="H13" s="9" t="s">
        <v>265</v>
      </c>
      <c r="I13" s="9" t="s">
        <v>99</v>
      </c>
      <c r="J13" s="9" t="s">
        <v>67</v>
      </c>
      <c r="K13" s="9">
        <v>0.39</v>
      </c>
      <c r="L13" s="9">
        <v>0.63500000000000001</v>
      </c>
      <c r="M13" s="9"/>
    </row>
    <row r="14" spans="1:13" x14ac:dyDescent="0.25">
      <c r="A14" s="9" t="s">
        <v>44</v>
      </c>
      <c r="B14" s="9" t="s">
        <v>259</v>
      </c>
      <c r="C14" s="9" t="s">
        <v>266</v>
      </c>
      <c r="D14" s="9" t="s">
        <v>267</v>
      </c>
      <c r="E14" s="9" t="s">
        <v>268</v>
      </c>
      <c r="F14" s="9" t="s">
        <v>269</v>
      </c>
      <c r="G14" s="9" t="s">
        <v>270</v>
      </c>
      <c r="H14" s="9" t="s">
        <v>265</v>
      </c>
      <c r="I14" s="9" t="s">
        <v>95</v>
      </c>
      <c r="J14" s="9" t="s">
        <v>67</v>
      </c>
      <c r="K14" s="9">
        <v>0.443</v>
      </c>
      <c r="L14" s="9">
        <v>0.71499999999999997</v>
      </c>
      <c r="M14" s="9"/>
    </row>
    <row r="15" spans="1:13" x14ac:dyDescent="0.25">
      <c r="A15" s="9" t="s">
        <v>44</v>
      </c>
      <c r="B15" s="9" t="s">
        <v>259</v>
      </c>
      <c r="C15" s="9" t="s">
        <v>271</v>
      </c>
      <c r="D15" s="9" t="s">
        <v>272</v>
      </c>
      <c r="E15" s="9" t="s">
        <v>273</v>
      </c>
      <c r="F15" s="9" t="s">
        <v>274</v>
      </c>
      <c r="G15" s="9" t="s">
        <v>275</v>
      </c>
      <c r="H15" s="9" t="s">
        <v>265</v>
      </c>
      <c r="I15" s="9" t="s">
        <v>103</v>
      </c>
      <c r="J15" s="9" t="s">
        <v>67</v>
      </c>
      <c r="K15" s="9">
        <v>3.7999999999999999E-2</v>
      </c>
      <c r="L15" s="9">
        <v>0.11700000000000001</v>
      </c>
      <c r="M15" s="9"/>
    </row>
    <row r="16" spans="1:13" x14ac:dyDescent="0.25">
      <c r="A16" s="6" t="s">
        <v>44</v>
      </c>
      <c r="B16" s="7" t="s">
        <v>276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A17" s="9" t="s">
        <v>44</v>
      </c>
      <c r="B17" s="9" t="s">
        <v>276</v>
      </c>
      <c r="C17" s="9" t="s">
        <v>277</v>
      </c>
      <c r="D17" s="9" t="s">
        <v>261</v>
      </c>
      <c r="E17" s="9" t="s">
        <v>278</v>
      </c>
      <c r="F17" s="9" t="s">
        <v>279</v>
      </c>
      <c r="G17" s="9" t="s">
        <v>280</v>
      </c>
      <c r="H17" s="9" t="s">
        <v>19</v>
      </c>
      <c r="I17" s="9" t="s">
        <v>111</v>
      </c>
      <c r="J17" s="9" t="s">
        <v>67</v>
      </c>
      <c r="K17" s="9">
        <v>1.147</v>
      </c>
      <c r="L17" s="9">
        <v>1.6890000000000001</v>
      </c>
      <c r="M17" s="9"/>
    </row>
    <row r="18" spans="1:13" x14ac:dyDescent="0.25">
      <c r="A18" s="9" t="s">
        <v>44</v>
      </c>
      <c r="B18" s="9" t="s">
        <v>276</v>
      </c>
      <c r="C18" s="9" t="s">
        <v>281</v>
      </c>
      <c r="D18" s="9" t="s">
        <v>267</v>
      </c>
      <c r="E18" s="9" t="s">
        <v>282</v>
      </c>
      <c r="F18" s="9" t="s">
        <v>283</v>
      </c>
      <c r="G18" s="9" t="s">
        <v>284</v>
      </c>
      <c r="H18" s="9" t="s">
        <v>19</v>
      </c>
      <c r="I18" s="9" t="s">
        <v>90</v>
      </c>
      <c r="J18" s="9" t="s">
        <v>67</v>
      </c>
      <c r="K18" s="9">
        <v>1.482</v>
      </c>
      <c r="L18" s="9">
        <v>2.282</v>
      </c>
      <c r="M18" s="9"/>
    </row>
    <row r="19" spans="1:13" x14ac:dyDescent="0.25">
      <c r="A19" s="9" t="s">
        <v>44</v>
      </c>
      <c r="B19" s="9" t="s">
        <v>276</v>
      </c>
      <c r="C19" s="9" t="s">
        <v>285</v>
      </c>
      <c r="D19" s="9" t="s">
        <v>272</v>
      </c>
      <c r="E19" s="9" t="s">
        <v>286</v>
      </c>
      <c r="F19" s="9" t="s">
        <v>287</v>
      </c>
      <c r="G19" s="9" t="s">
        <v>288</v>
      </c>
      <c r="H19" s="9" t="s">
        <v>265</v>
      </c>
      <c r="I19" s="9" t="s">
        <v>289</v>
      </c>
      <c r="J19" s="9" t="s">
        <v>67</v>
      </c>
      <c r="K19" s="9">
        <v>3.7999999999999999E-2</v>
      </c>
      <c r="L19" s="9">
        <v>0.59299999999999997</v>
      </c>
      <c r="M19" s="9"/>
    </row>
    <row r="20" spans="1:13" x14ac:dyDescent="0.25">
      <c r="A20" s="6" t="s">
        <v>44</v>
      </c>
      <c r="B20" s="7" t="s">
        <v>290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x14ac:dyDescent="0.25">
      <c r="A21" s="9" t="b">
        <v>0</v>
      </c>
      <c r="B21" s="9" t="s">
        <v>290</v>
      </c>
      <c r="C21" s="9" t="s">
        <v>291</v>
      </c>
      <c r="D21" s="9" t="s">
        <v>109</v>
      </c>
      <c r="E21" s="9"/>
      <c r="F21" s="9"/>
      <c r="G21" s="9" t="s">
        <v>292</v>
      </c>
      <c r="H21" s="9" t="s">
        <v>265</v>
      </c>
      <c r="I21" s="9" t="s">
        <v>293</v>
      </c>
      <c r="J21" s="9" t="s">
        <v>91</v>
      </c>
      <c r="K21" s="9"/>
      <c r="L21" s="9">
        <v>0.3</v>
      </c>
      <c r="M21" s="9"/>
    </row>
    <row r="22" spans="1:13" x14ac:dyDescent="0.25">
      <c r="A22" s="9" t="b">
        <v>0</v>
      </c>
      <c r="B22" s="9" t="s">
        <v>290</v>
      </c>
      <c r="C22" s="9" t="s">
        <v>294</v>
      </c>
      <c r="D22" s="9" t="s">
        <v>107</v>
      </c>
      <c r="E22" s="9" t="s">
        <v>295</v>
      </c>
      <c r="F22" s="9"/>
      <c r="G22" s="9"/>
      <c r="H22" s="9" t="s">
        <v>19</v>
      </c>
      <c r="I22" s="9" t="s">
        <v>296</v>
      </c>
      <c r="J22" s="9" t="s">
        <v>91</v>
      </c>
      <c r="K22" s="9">
        <v>2.7</v>
      </c>
      <c r="L22" s="9"/>
      <c r="M22" s="9"/>
    </row>
    <row r="23" spans="1:13" x14ac:dyDescent="0.25">
      <c r="A23" s="9" t="b">
        <v>0</v>
      </c>
      <c r="B23" s="9" t="s">
        <v>290</v>
      </c>
      <c r="C23" s="9" t="s">
        <v>297</v>
      </c>
      <c r="D23" s="9" t="s">
        <v>298</v>
      </c>
      <c r="E23" s="9" t="s">
        <v>33</v>
      </c>
      <c r="F23" s="9"/>
      <c r="G23" s="9"/>
      <c r="H23" s="9" t="s">
        <v>50</v>
      </c>
      <c r="I23" s="9" t="s">
        <v>299</v>
      </c>
      <c r="J23" s="9" t="s">
        <v>300</v>
      </c>
      <c r="K23" s="9">
        <v>0.02</v>
      </c>
      <c r="L23" s="9"/>
      <c r="M23" s="9"/>
    </row>
    <row r="24" spans="1:13" x14ac:dyDescent="0.25">
      <c r="A24" s="9" t="b">
        <v>0</v>
      </c>
      <c r="B24" s="9" t="s">
        <v>290</v>
      </c>
      <c r="C24" s="9" t="s">
        <v>301</v>
      </c>
      <c r="D24" s="9" t="s">
        <v>302</v>
      </c>
      <c r="E24" s="9" t="s">
        <v>303</v>
      </c>
      <c r="F24" s="9"/>
      <c r="G24" s="9"/>
      <c r="H24" s="9" t="s">
        <v>50</v>
      </c>
      <c r="I24" s="9" t="s">
        <v>304</v>
      </c>
      <c r="J24" s="9" t="s">
        <v>300</v>
      </c>
      <c r="K24" s="9"/>
      <c r="L24" s="9">
        <v>-0.02</v>
      </c>
      <c r="M24" s="9"/>
    </row>
    <row r="25" spans="1:13" x14ac:dyDescent="0.25">
      <c r="A25" s="6" t="s">
        <v>44</v>
      </c>
      <c r="B25" s="7" t="s">
        <v>305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9" t="s">
        <v>44</v>
      </c>
      <c r="B26" s="9" t="s">
        <v>305</v>
      </c>
      <c r="C26" s="9" t="s">
        <v>306</v>
      </c>
      <c r="D26" s="9" t="s">
        <v>307</v>
      </c>
      <c r="E26" s="9"/>
      <c r="F26" s="9"/>
      <c r="G26" s="9" t="s">
        <v>115</v>
      </c>
      <c r="H26" s="9" t="s">
        <v>35</v>
      </c>
      <c r="I26" s="9" t="s">
        <v>308</v>
      </c>
      <c r="J26" s="9" t="s">
        <v>309</v>
      </c>
      <c r="K26" s="9"/>
      <c r="L26" s="9"/>
      <c r="M26" s="9" t="s">
        <v>310</v>
      </c>
    </row>
    <row r="27" spans="1:13" x14ac:dyDescent="0.25">
      <c r="A27" s="9" t="b">
        <v>0</v>
      </c>
      <c r="B27" s="9" t="s">
        <v>305</v>
      </c>
      <c r="C27" s="9" t="s">
        <v>311</v>
      </c>
      <c r="D27" s="9" t="s">
        <v>312</v>
      </c>
      <c r="E27" s="9"/>
      <c r="F27" s="9" t="s">
        <v>313</v>
      </c>
      <c r="G27" s="9"/>
      <c r="H27" s="9" t="s">
        <v>314</v>
      </c>
      <c r="I27" s="9"/>
      <c r="J27" s="9" t="s">
        <v>315</v>
      </c>
      <c r="K27" s="9"/>
      <c r="L27" s="9"/>
      <c r="M27" s="9"/>
    </row>
    <row r="28" spans="1:13" x14ac:dyDescent="0.25">
      <c r="A28" s="9" t="b">
        <v>0</v>
      </c>
      <c r="B28" s="9" t="s">
        <v>305</v>
      </c>
      <c r="C28" s="9" t="s">
        <v>316</v>
      </c>
      <c r="D28" s="9" t="s">
        <v>317</v>
      </c>
      <c r="E28" s="9"/>
      <c r="F28" s="9" t="s">
        <v>318</v>
      </c>
      <c r="G28" s="9"/>
      <c r="H28" s="9" t="s">
        <v>319</v>
      </c>
      <c r="I28" s="9"/>
      <c r="J28" s="9" t="s">
        <v>320</v>
      </c>
      <c r="K28" s="9"/>
      <c r="L28" s="9"/>
      <c r="M28" s="9"/>
    </row>
    <row r="29" spans="1:13" x14ac:dyDescent="0.25">
      <c r="A29" s="9" t="b">
        <v>0</v>
      </c>
      <c r="B29" s="9" t="s">
        <v>305</v>
      </c>
      <c r="C29" s="9" t="s">
        <v>321</v>
      </c>
      <c r="D29" s="9" t="s">
        <v>322</v>
      </c>
      <c r="E29" s="9"/>
      <c r="F29" s="9" t="s">
        <v>323</v>
      </c>
      <c r="G29" s="9"/>
      <c r="H29" s="9" t="s">
        <v>324</v>
      </c>
      <c r="I29" s="9"/>
      <c r="J29" s="9"/>
      <c r="K29" s="9"/>
      <c r="L29" s="9"/>
      <c r="M29" s="9"/>
    </row>
    <row r="30" spans="1:13" x14ac:dyDescent="0.25">
      <c r="A30" s="6" t="b">
        <v>1</v>
      </c>
      <c r="B30" s="7" t="s">
        <v>325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9" t="b">
        <v>1</v>
      </c>
      <c r="B31" s="9" t="s">
        <v>325</v>
      </c>
      <c r="C31" s="9" t="s">
        <v>326</v>
      </c>
      <c r="D31" s="9" t="s">
        <v>327</v>
      </c>
      <c r="E31" s="9" t="s">
        <v>32</v>
      </c>
      <c r="F31" s="9" t="s">
        <v>33</v>
      </c>
      <c r="G31" s="9" t="s">
        <v>34</v>
      </c>
      <c r="H31" s="9" t="s">
        <v>35</v>
      </c>
      <c r="I31" s="9" t="s">
        <v>328</v>
      </c>
      <c r="J31" s="9" t="s">
        <v>329</v>
      </c>
      <c r="K31" s="9">
        <v>19500000</v>
      </c>
      <c r="L31" s="9">
        <v>20500000</v>
      </c>
      <c r="M31" s="9"/>
    </row>
    <row r="32" spans="1:13" x14ac:dyDescent="0.25">
      <c r="A32" s="6" t="s">
        <v>44</v>
      </c>
      <c r="B32" s="7" t="s">
        <v>330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5">
      <c r="A33" s="9" t="s">
        <v>44</v>
      </c>
      <c r="B33" s="9" t="s">
        <v>330</v>
      </c>
      <c r="C33" s="9" t="s">
        <v>331</v>
      </c>
      <c r="D33" s="9" t="s">
        <v>332</v>
      </c>
      <c r="E33" s="9" t="s">
        <v>333</v>
      </c>
      <c r="F33" s="9" t="s">
        <v>17</v>
      </c>
      <c r="G33" s="9" t="s">
        <v>334</v>
      </c>
      <c r="H33" s="9" t="s">
        <v>19</v>
      </c>
      <c r="I33" s="9" t="s">
        <v>335</v>
      </c>
      <c r="J33" s="9" t="s">
        <v>336</v>
      </c>
      <c r="K33" s="9">
        <v>1.7</v>
      </c>
      <c r="L33" s="9">
        <v>1.9</v>
      </c>
      <c r="M33" s="9"/>
    </row>
    <row r="34" spans="1:13" x14ac:dyDescent="0.25">
      <c r="A34" s="9" t="b">
        <v>0</v>
      </c>
      <c r="B34" s="9" t="s">
        <v>330</v>
      </c>
      <c r="C34" s="9" t="s">
        <v>337</v>
      </c>
      <c r="D34" s="9" t="s">
        <v>338</v>
      </c>
      <c r="E34" s="9"/>
      <c r="F34" s="9"/>
      <c r="G34" s="9" t="s">
        <v>32</v>
      </c>
      <c r="H34" s="9" t="s">
        <v>50</v>
      </c>
      <c r="I34" s="9" t="s">
        <v>335</v>
      </c>
      <c r="J34" s="9" t="s">
        <v>336</v>
      </c>
      <c r="K34" s="9"/>
      <c r="L34" s="9"/>
      <c r="M34" s="9"/>
    </row>
    <row r="35" spans="1:13" x14ac:dyDescent="0.25">
      <c r="A35" s="9" t="s">
        <v>44</v>
      </c>
      <c r="B35" s="9" t="s">
        <v>330</v>
      </c>
      <c r="C35" s="9" t="s">
        <v>339</v>
      </c>
      <c r="D35" s="9" t="s">
        <v>340</v>
      </c>
      <c r="E35" s="9" t="s">
        <v>79</v>
      </c>
      <c r="F35" s="9" t="s">
        <v>125</v>
      </c>
      <c r="G35" s="9" t="s">
        <v>313</v>
      </c>
      <c r="H35" s="9" t="s">
        <v>19</v>
      </c>
      <c r="I35" s="10" t="s">
        <v>341</v>
      </c>
      <c r="J35" s="9" t="s">
        <v>342</v>
      </c>
      <c r="K35" s="9">
        <v>1.18</v>
      </c>
      <c r="L35" s="9">
        <v>1.22</v>
      </c>
      <c r="M35" s="9"/>
    </row>
    <row r="36" spans="1:13" x14ac:dyDescent="0.25">
      <c r="A36" s="6" t="b">
        <v>0</v>
      </c>
      <c r="B36" s="7" t="s">
        <v>129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x14ac:dyDescent="0.25">
      <c r="A37" s="9" t="b">
        <v>0</v>
      </c>
      <c r="B37" s="9" t="s">
        <v>129</v>
      </c>
      <c r="C37" s="9" t="s">
        <v>130</v>
      </c>
      <c r="D37" s="9"/>
      <c r="E37" s="9" t="s">
        <v>343</v>
      </c>
      <c r="F37" s="9"/>
      <c r="G37" s="9"/>
      <c r="H37" s="9" t="s">
        <v>132</v>
      </c>
      <c r="I37" s="9"/>
      <c r="J37" s="9" t="s">
        <v>133</v>
      </c>
      <c r="K37" s="9"/>
      <c r="L37" s="9"/>
      <c r="M37" s="9"/>
    </row>
    <row r="38" spans="1:13" x14ac:dyDescent="0.25">
      <c r="A38" s="9" t="b">
        <v>0</v>
      </c>
      <c r="B38" s="9" t="s">
        <v>129</v>
      </c>
      <c r="C38" s="9" t="s">
        <v>134</v>
      </c>
      <c r="D38" s="9"/>
      <c r="E38" s="9" t="s">
        <v>344</v>
      </c>
      <c r="F38" s="9"/>
      <c r="G38" s="9"/>
      <c r="H38" s="9" t="s">
        <v>136</v>
      </c>
      <c r="I38" s="9"/>
      <c r="J38" s="9" t="s">
        <v>137</v>
      </c>
      <c r="K38" s="9"/>
      <c r="L38" s="9"/>
      <c r="M38" s="9"/>
    </row>
  </sheetData>
  <autoFilter ref="A1:M38" xr:uid="{00000000-0009-0000-0000-000001000000}"/>
  <dataValidations count="1">
    <dataValidation type="list" errorTitle="Invalid value" error="Please enter TRUE or FALSE" sqref="A2:A38" xr:uid="{00000000-0002-0000-0100-000000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tabSelected="1" topLeftCell="B1" zoomScale="90" zoomScaleNormal="90" workbookViewId="0">
      <pane ySplit="1" topLeftCell="A26" activePane="bottomLeft" state="frozen"/>
      <selection pane="bottomLeft" activeCell="Q46" sqref="Q46"/>
    </sheetView>
  </sheetViews>
  <sheetFormatPr defaultRowHeight="15" x14ac:dyDescent="0.25"/>
  <cols>
    <col min="1" max="1" width="12" customWidth="1"/>
    <col min="2" max="2" width="20" customWidth="1"/>
    <col min="3" max="3" width="40" customWidth="1"/>
    <col min="4" max="4" width="22" customWidth="1"/>
    <col min="5" max="7" width="14" customWidth="1"/>
    <col min="8" max="8" width="10" customWidth="1"/>
    <col min="9" max="10" width="12" customWidth="1"/>
    <col min="11" max="12" width="14" customWidth="1"/>
    <col min="13" max="13" width="50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</row>
    <row r="2" spans="1:13" x14ac:dyDescent="0.25">
      <c r="A2" s="6" t="b">
        <v>0</v>
      </c>
      <c r="B2" s="7" t="s">
        <v>13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b">
        <v>0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/>
      <c r="J3" s="9"/>
      <c r="K3" s="9"/>
      <c r="L3" s="9"/>
      <c r="M3" s="9"/>
    </row>
    <row r="4" spans="1:13" x14ac:dyDescent="0.25">
      <c r="A4" s="9" t="b">
        <v>0</v>
      </c>
      <c r="B4" s="9" t="s">
        <v>13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19</v>
      </c>
      <c r="I4" s="9"/>
      <c r="J4" s="9"/>
      <c r="K4" s="9"/>
      <c r="L4" s="9"/>
      <c r="M4" s="9"/>
    </row>
    <row r="5" spans="1:13" x14ac:dyDescent="0.25">
      <c r="A5" s="9" t="b">
        <v>0</v>
      </c>
      <c r="B5" s="9" t="s">
        <v>13</v>
      </c>
      <c r="C5" s="9" t="s">
        <v>25</v>
      </c>
      <c r="D5" s="9" t="s">
        <v>26</v>
      </c>
      <c r="E5" s="9" t="s">
        <v>22</v>
      </c>
      <c r="F5" s="9" t="s">
        <v>23</v>
      </c>
      <c r="G5" s="9" t="s">
        <v>24</v>
      </c>
      <c r="H5" s="9" t="s">
        <v>19</v>
      </c>
      <c r="I5" s="9"/>
      <c r="J5" s="9"/>
      <c r="K5" s="9"/>
      <c r="L5" s="9"/>
      <c r="M5" s="9"/>
    </row>
    <row r="6" spans="1:13" x14ac:dyDescent="0.25">
      <c r="A6" s="9" t="b">
        <v>0</v>
      </c>
      <c r="B6" s="9" t="s">
        <v>13</v>
      </c>
      <c r="C6" s="9" t="s">
        <v>27</v>
      </c>
      <c r="D6" s="9" t="s">
        <v>28</v>
      </c>
      <c r="E6" s="9" t="s">
        <v>29</v>
      </c>
      <c r="F6" s="9" t="s">
        <v>23</v>
      </c>
      <c r="G6" s="9" t="s">
        <v>23</v>
      </c>
      <c r="H6" s="9" t="s">
        <v>19</v>
      </c>
      <c r="I6" s="9"/>
      <c r="J6" s="9"/>
      <c r="K6" s="9"/>
      <c r="L6" s="9"/>
      <c r="M6" s="9"/>
    </row>
    <row r="7" spans="1:13" x14ac:dyDescent="0.25">
      <c r="A7" s="9" t="b">
        <v>0</v>
      </c>
      <c r="B7" s="9" t="s">
        <v>13</v>
      </c>
      <c r="C7" s="9" t="s">
        <v>30</v>
      </c>
      <c r="D7" s="9" t="s">
        <v>31</v>
      </c>
      <c r="E7" s="9" t="s">
        <v>32</v>
      </c>
      <c r="F7" s="9" t="s">
        <v>33</v>
      </c>
      <c r="G7" s="9" t="s">
        <v>34</v>
      </c>
      <c r="H7" s="9" t="s">
        <v>35</v>
      </c>
      <c r="I7" s="9"/>
      <c r="J7" s="9"/>
      <c r="K7" s="9"/>
      <c r="L7" s="9"/>
      <c r="M7" s="9"/>
    </row>
    <row r="8" spans="1:13" x14ac:dyDescent="0.25">
      <c r="A8" s="9" t="b">
        <v>0</v>
      </c>
      <c r="B8" s="9" t="s">
        <v>13</v>
      </c>
      <c r="C8" s="9" t="s">
        <v>36</v>
      </c>
      <c r="D8" s="9" t="s">
        <v>37</v>
      </c>
      <c r="E8" s="9"/>
      <c r="F8" s="9" t="s">
        <v>32</v>
      </c>
      <c r="G8" s="9" t="s">
        <v>33</v>
      </c>
      <c r="H8" s="9" t="s">
        <v>35</v>
      </c>
      <c r="I8" s="9"/>
      <c r="J8" s="9"/>
      <c r="K8" s="9"/>
      <c r="L8" s="9"/>
      <c r="M8" s="9"/>
    </row>
    <row r="9" spans="1:13" x14ac:dyDescent="0.25">
      <c r="A9" s="9" t="b">
        <v>0</v>
      </c>
      <c r="B9" s="9" t="s">
        <v>13</v>
      </c>
      <c r="C9" s="9" t="s">
        <v>38</v>
      </c>
      <c r="D9" s="9" t="s">
        <v>39</v>
      </c>
      <c r="E9" s="9" t="s">
        <v>40</v>
      </c>
      <c r="F9" s="9" t="s">
        <v>41</v>
      </c>
      <c r="G9" s="9" t="s">
        <v>42</v>
      </c>
      <c r="H9" s="9" t="s">
        <v>43</v>
      </c>
      <c r="I9" s="9"/>
      <c r="J9" s="9"/>
      <c r="K9" s="9"/>
      <c r="L9" s="9"/>
      <c r="M9" s="9"/>
    </row>
    <row r="10" spans="1:13" x14ac:dyDescent="0.25">
      <c r="A10" s="6" t="s">
        <v>44</v>
      </c>
      <c r="B10" s="7" t="s">
        <v>45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x14ac:dyDescent="0.25">
      <c r="A11" s="9" t="s">
        <v>44</v>
      </c>
      <c r="B11" s="9" t="s">
        <v>45</v>
      </c>
      <c r="C11" s="9" t="s">
        <v>46</v>
      </c>
      <c r="D11" s="9" t="s">
        <v>47</v>
      </c>
      <c r="E11" s="9"/>
      <c r="F11" s="9" t="s">
        <v>48</v>
      </c>
      <c r="G11" s="9" t="s">
        <v>49</v>
      </c>
      <c r="H11" s="9" t="s">
        <v>50</v>
      </c>
      <c r="I11" s="18" t="s">
        <v>51</v>
      </c>
      <c r="J11" s="9" t="s">
        <v>52</v>
      </c>
      <c r="K11" s="9"/>
      <c r="L11" s="9"/>
      <c r="M11" s="18" t="s">
        <v>53</v>
      </c>
    </row>
    <row r="12" spans="1:13" x14ac:dyDescent="0.25">
      <c r="A12" s="9" t="s">
        <v>44</v>
      </c>
      <c r="B12" s="9" t="s">
        <v>45</v>
      </c>
      <c r="C12" s="9" t="s">
        <v>54</v>
      </c>
      <c r="D12" s="9" t="s">
        <v>55</v>
      </c>
      <c r="E12" s="9"/>
      <c r="F12" s="9" t="s">
        <v>56</v>
      </c>
      <c r="G12" s="9"/>
      <c r="H12" s="9" t="s">
        <v>50</v>
      </c>
      <c r="I12" s="9" t="s">
        <v>57</v>
      </c>
      <c r="J12" s="9" t="s">
        <v>52</v>
      </c>
      <c r="K12" s="9"/>
      <c r="L12" s="9"/>
      <c r="M12" s="9" t="s">
        <v>58</v>
      </c>
    </row>
    <row r="13" spans="1:13" x14ac:dyDescent="0.25">
      <c r="A13" s="6" t="s">
        <v>44</v>
      </c>
      <c r="B13" s="7" t="s">
        <v>59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5">
      <c r="A14" s="9" t="s">
        <v>44</v>
      </c>
      <c r="B14" s="9" t="s">
        <v>59</v>
      </c>
      <c r="C14" s="9" t="s">
        <v>60</v>
      </c>
      <c r="D14" s="9" t="s">
        <v>31</v>
      </c>
      <c r="E14" s="9">
        <v>10</v>
      </c>
      <c r="F14" s="9">
        <v>20</v>
      </c>
      <c r="G14" s="9">
        <v>40</v>
      </c>
      <c r="H14" s="9" t="s">
        <v>35</v>
      </c>
      <c r="I14" s="9"/>
      <c r="J14" s="9"/>
      <c r="K14" s="9"/>
      <c r="L14" s="9"/>
      <c r="M14" s="9" t="s">
        <v>61</v>
      </c>
    </row>
    <row r="15" spans="1:13" x14ac:dyDescent="0.25">
      <c r="A15" s="9" t="s">
        <v>44</v>
      </c>
      <c r="B15" s="9" t="s">
        <v>59</v>
      </c>
      <c r="C15" s="9" t="s">
        <v>62</v>
      </c>
      <c r="D15" s="9" t="s">
        <v>63</v>
      </c>
      <c r="E15" s="9" t="s">
        <v>64</v>
      </c>
      <c r="F15" s="9" t="s">
        <v>65</v>
      </c>
      <c r="G15" s="9" t="s">
        <v>66</v>
      </c>
      <c r="H15" s="9" t="s">
        <v>19</v>
      </c>
      <c r="I15" s="9"/>
      <c r="J15" s="9" t="s">
        <v>67</v>
      </c>
      <c r="K15" s="9"/>
      <c r="L15" s="9"/>
      <c r="M15" s="9" t="s">
        <v>68</v>
      </c>
    </row>
    <row r="16" spans="1:13" x14ac:dyDescent="0.25">
      <c r="A16" s="9" t="s">
        <v>44</v>
      </c>
      <c r="B16" s="9" t="s">
        <v>59</v>
      </c>
      <c r="C16" s="9" t="s">
        <v>69</v>
      </c>
      <c r="D16" s="9" t="s">
        <v>70</v>
      </c>
      <c r="E16" s="9" t="s">
        <v>71</v>
      </c>
      <c r="F16" s="9" t="s">
        <v>72</v>
      </c>
      <c r="G16" s="9" t="s">
        <v>73</v>
      </c>
      <c r="H16" s="9" t="s">
        <v>19</v>
      </c>
      <c r="I16" s="18" t="s">
        <v>74</v>
      </c>
      <c r="J16" s="9" t="s">
        <v>67</v>
      </c>
      <c r="K16" s="9"/>
      <c r="L16" s="9"/>
      <c r="M16" s="18"/>
    </row>
    <row r="17" spans="1:13" x14ac:dyDescent="0.25">
      <c r="A17" s="9" t="s">
        <v>44</v>
      </c>
      <c r="B17" s="9" t="s">
        <v>59</v>
      </c>
      <c r="C17" s="9" t="s">
        <v>75</v>
      </c>
      <c r="D17" s="9" t="s">
        <v>76</v>
      </c>
      <c r="E17" s="9" t="s">
        <v>77</v>
      </c>
      <c r="F17" s="9" t="s">
        <v>78</v>
      </c>
      <c r="G17" s="9" t="s">
        <v>79</v>
      </c>
      <c r="H17" s="9" t="s">
        <v>19</v>
      </c>
      <c r="I17" s="9"/>
      <c r="J17" s="9" t="s">
        <v>67</v>
      </c>
      <c r="K17" s="9"/>
      <c r="L17" s="9"/>
      <c r="M17" s="9" t="s">
        <v>68</v>
      </c>
    </row>
    <row r="18" spans="1:13" x14ac:dyDescent="0.25">
      <c r="A18" s="9" t="s">
        <v>44</v>
      </c>
      <c r="B18" s="9" t="s">
        <v>59</v>
      </c>
      <c r="C18" s="9" t="s">
        <v>80</v>
      </c>
      <c r="D18" s="9" t="s">
        <v>81</v>
      </c>
      <c r="E18" s="9"/>
      <c r="F18" s="9" t="s">
        <v>82</v>
      </c>
      <c r="G18" s="9"/>
      <c r="H18" s="9" t="s">
        <v>19</v>
      </c>
      <c r="I18" s="18" t="s">
        <v>83</v>
      </c>
      <c r="J18" s="9" t="s">
        <v>67</v>
      </c>
      <c r="K18" s="9"/>
      <c r="L18" s="9"/>
      <c r="M18" s="18"/>
    </row>
    <row r="19" spans="1:13" x14ac:dyDescent="0.25">
      <c r="A19" s="6" t="s">
        <v>44</v>
      </c>
      <c r="B19" s="7" t="s">
        <v>84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9" t="s">
        <v>44</v>
      </c>
      <c r="B20" s="9" t="s">
        <v>84</v>
      </c>
      <c r="C20" s="9" t="s">
        <v>85</v>
      </c>
      <c r="D20" s="9" t="s">
        <v>86</v>
      </c>
      <c r="E20" s="9"/>
      <c r="F20" s="9"/>
      <c r="G20" s="9">
        <v>20</v>
      </c>
      <c r="H20" s="9" t="s">
        <v>35</v>
      </c>
      <c r="I20" s="9"/>
      <c r="J20" s="9"/>
      <c r="K20" s="9"/>
      <c r="L20" s="9"/>
      <c r="M20" s="9" t="s">
        <v>61</v>
      </c>
    </row>
    <row r="21" spans="1:13" x14ac:dyDescent="0.25">
      <c r="A21" s="9" t="s">
        <v>44</v>
      </c>
      <c r="B21" s="9" t="s">
        <v>84</v>
      </c>
      <c r="C21" s="9" t="s">
        <v>87</v>
      </c>
      <c r="D21" s="9" t="s">
        <v>88</v>
      </c>
      <c r="E21" s="9" t="s">
        <v>89</v>
      </c>
      <c r="F21" s="9" t="s">
        <v>23</v>
      </c>
      <c r="G21" s="9" t="s">
        <v>24</v>
      </c>
      <c r="H21" s="9" t="s">
        <v>19</v>
      </c>
      <c r="I21" s="18" t="s">
        <v>90</v>
      </c>
      <c r="J21" s="9" t="s">
        <v>91</v>
      </c>
      <c r="K21" s="9"/>
      <c r="L21" s="9"/>
      <c r="M21" s="9" t="s">
        <v>92</v>
      </c>
    </row>
    <row r="22" spans="1:13" x14ac:dyDescent="0.25">
      <c r="A22" s="9" t="s">
        <v>44</v>
      </c>
      <c r="B22" s="9" t="s">
        <v>84</v>
      </c>
      <c r="C22" s="9" t="s">
        <v>93</v>
      </c>
      <c r="D22" s="9" t="s">
        <v>94</v>
      </c>
      <c r="E22" s="9" t="s">
        <v>64</v>
      </c>
      <c r="F22" s="9" t="s">
        <v>65</v>
      </c>
      <c r="G22" s="9" t="s">
        <v>66</v>
      </c>
      <c r="H22" s="9" t="s">
        <v>19</v>
      </c>
      <c r="I22" s="18" t="s">
        <v>95</v>
      </c>
      <c r="J22" s="9" t="s">
        <v>67</v>
      </c>
      <c r="K22" s="9"/>
      <c r="L22" s="9"/>
      <c r="M22" s="18" t="s">
        <v>96</v>
      </c>
    </row>
    <row r="23" spans="1:13" x14ac:dyDescent="0.25">
      <c r="A23" s="9" t="s">
        <v>44</v>
      </c>
      <c r="B23" s="9" t="s">
        <v>84</v>
      </c>
      <c r="C23" s="9" t="s">
        <v>97</v>
      </c>
      <c r="D23" s="9" t="s">
        <v>98</v>
      </c>
      <c r="E23" s="9" t="s">
        <v>71</v>
      </c>
      <c r="F23" s="9" t="s">
        <v>72</v>
      </c>
      <c r="G23" s="9" t="s">
        <v>73</v>
      </c>
      <c r="H23" s="9" t="s">
        <v>19</v>
      </c>
      <c r="I23" s="18" t="s">
        <v>99</v>
      </c>
      <c r="J23" s="9" t="s">
        <v>67</v>
      </c>
      <c r="K23" s="9"/>
      <c r="L23" s="9"/>
      <c r="M23" s="18" t="s">
        <v>100</v>
      </c>
    </row>
    <row r="24" spans="1:13" x14ac:dyDescent="0.25">
      <c r="A24" s="9" t="s">
        <v>44</v>
      </c>
      <c r="B24" s="9" t="s">
        <v>84</v>
      </c>
      <c r="C24" s="9" t="s">
        <v>101</v>
      </c>
      <c r="D24" s="9" t="s">
        <v>102</v>
      </c>
      <c r="E24" s="9" t="s">
        <v>77</v>
      </c>
      <c r="F24" s="9" t="s">
        <v>78</v>
      </c>
      <c r="G24" s="9" t="s">
        <v>79</v>
      </c>
      <c r="H24" s="9" t="s">
        <v>19</v>
      </c>
      <c r="I24" s="18" t="s">
        <v>103</v>
      </c>
      <c r="J24" s="9" t="s">
        <v>67</v>
      </c>
      <c r="K24" s="9"/>
      <c r="L24" s="9"/>
      <c r="M24" s="18" t="s">
        <v>104</v>
      </c>
    </row>
    <row r="25" spans="1:13" x14ac:dyDescent="0.25">
      <c r="A25" s="6" t="s">
        <v>44</v>
      </c>
      <c r="B25" s="7" t="s">
        <v>105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25">
      <c r="A26" s="9" t="s">
        <v>44</v>
      </c>
      <c r="B26" s="9" t="s">
        <v>105</v>
      </c>
      <c r="C26" s="9" t="s">
        <v>106</v>
      </c>
      <c r="D26" s="9" t="s">
        <v>107</v>
      </c>
      <c r="E26" s="9" t="s">
        <v>89</v>
      </c>
      <c r="F26" s="9" t="s">
        <v>26</v>
      </c>
      <c r="G26" s="9" t="s">
        <v>24</v>
      </c>
      <c r="H26" s="9" t="s">
        <v>19</v>
      </c>
      <c r="I26" s="18" t="s">
        <v>90</v>
      </c>
      <c r="J26" s="9" t="s">
        <v>91</v>
      </c>
      <c r="K26" s="9"/>
      <c r="L26" s="9"/>
      <c r="M26" s="9" t="s">
        <v>92</v>
      </c>
    </row>
    <row r="27" spans="1:13" x14ac:dyDescent="0.25">
      <c r="A27" s="9" t="s">
        <v>44</v>
      </c>
      <c r="B27" s="9" t="s">
        <v>105</v>
      </c>
      <c r="C27" s="9" t="s">
        <v>108</v>
      </c>
      <c r="D27" s="9" t="s">
        <v>109</v>
      </c>
      <c r="E27" s="9"/>
      <c r="F27" s="9" t="s">
        <v>110</v>
      </c>
      <c r="G27" s="9"/>
      <c r="H27" s="9" t="s">
        <v>19</v>
      </c>
      <c r="I27" s="18" t="s">
        <v>111</v>
      </c>
      <c r="J27" s="9" t="s">
        <v>91</v>
      </c>
      <c r="K27" s="9"/>
      <c r="L27" s="9"/>
      <c r="M27" s="9" t="s">
        <v>92</v>
      </c>
    </row>
    <row r="28" spans="1:13" x14ac:dyDescent="0.25">
      <c r="A28" s="9" t="s">
        <v>44</v>
      </c>
      <c r="B28" s="9" t="s">
        <v>105</v>
      </c>
      <c r="C28" s="9" t="s">
        <v>112</v>
      </c>
      <c r="D28" s="9" t="s">
        <v>113</v>
      </c>
      <c r="E28" s="9" t="s">
        <v>114</v>
      </c>
      <c r="G28" s="9" t="s">
        <v>115</v>
      </c>
      <c r="H28" s="9" t="s">
        <v>35</v>
      </c>
      <c r="I28" s="9" t="s">
        <v>116</v>
      </c>
      <c r="J28" s="9" t="s">
        <v>117</v>
      </c>
      <c r="K28" s="9"/>
      <c r="L28" s="9"/>
      <c r="M28" s="9" t="s">
        <v>118</v>
      </c>
    </row>
    <row r="29" spans="1:13" x14ac:dyDescent="0.25">
      <c r="A29" s="9" t="s">
        <v>44</v>
      </c>
      <c r="B29" s="9" t="s">
        <v>105</v>
      </c>
      <c r="C29" s="9" t="s">
        <v>119</v>
      </c>
      <c r="D29" s="9" t="s">
        <v>120</v>
      </c>
      <c r="E29" s="9"/>
      <c r="F29" s="9"/>
      <c r="G29" s="9" t="s">
        <v>114</v>
      </c>
      <c r="H29" s="9" t="s">
        <v>35</v>
      </c>
      <c r="I29" s="9" t="s">
        <v>116</v>
      </c>
      <c r="J29" s="9" t="s">
        <v>117</v>
      </c>
      <c r="K29" s="9"/>
      <c r="L29" s="9"/>
      <c r="M29" s="9" t="s">
        <v>118</v>
      </c>
    </row>
    <row r="30" spans="1:13" x14ac:dyDescent="0.25">
      <c r="A30" s="6" t="s">
        <v>44</v>
      </c>
      <c r="B30" s="7" t="s">
        <v>121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x14ac:dyDescent="0.25">
      <c r="A31" s="9" t="s">
        <v>44</v>
      </c>
      <c r="B31" s="9" t="s">
        <v>121</v>
      </c>
      <c r="C31" s="9" t="s">
        <v>122</v>
      </c>
      <c r="D31" s="9" t="s">
        <v>123</v>
      </c>
      <c r="E31" s="9" t="s">
        <v>124</v>
      </c>
      <c r="F31" s="9" t="s">
        <v>125</v>
      </c>
      <c r="G31" s="9" t="s">
        <v>126</v>
      </c>
      <c r="H31" s="9" t="s">
        <v>19</v>
      </c>
      <c r="I31" s="9" t="s">
        <v>127</v>
      </c>
      <c r="J31" s="9" t="s">
        <v>128</v>
      </c>
      <c r="K31" s="9"/>
      <c r="L31" s="9"/>
      <c r="M31" s="18"/>
    </row>
    <row r="32" spans="1:13" x14ac:dyDescent="0.25">
      <c r="A32" s="6" t="b">
        <v>0</v>
      </c>
      <c r="B32" s="7" t="s">
        <v>129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x14ac:dyDescent="0.25">
      <c r="A33" s="9" t="b">
        <v>0</v>
      </c>
      <c r="B33" s="9" t="s">
        <v>129</v>
      </c>
      <c r="C33" s="9" t="s">
        <v>130</v>
      </c>
      <c r="D33" s="9"/>
      <c r="E33" s="9" t="s">
        <v>131</v>
      </c>
      <c r="F33" s="9"/>
      <c r="G33" s="9"/>
      <c r="H33" s="9" t="s">
        <v>132</v>
      </c>
      <c r="I33" s="9"/>
      <c r="J33" s="9" t="s">
        <v>133</v>
      </c>
      <c r="K33" s="9"/>
      <c r="L33" s="9"/>
      <c r="M33" s="9"/>
    </row>
    <row r="34" spans="1:13" x14ac:dyDescent="0.25">
      <c r="A34" s="9" t="b">
        <v>0</v>
      </c>
      <c r="B34" s="9" t="s">
        <v>129</v>
      </c>
      <c r="C34" s="9" t="s">
        <v>134</v>
      </c>
      <c r="D34" s="9"/>
      <c r="E34" s="9" t="s">
        <v>135</v>
      </c>
      <c r="F34" s="9"/>
      <c r="G34" s="9"/>
      <c r="H34" s="9" t="s">
        <v>136</v>
      </c>
      <c r="I34" s="9"/>
      <c r="J34" s="9" t="s">
        <v>137</v>
      </c>
      <c r="K34" s="9"/>
      <c r="L34" s="9"/>
      <c r="M34" s="9"/>
    </row>
    <row r="35" spans="1:13" x14ac:dyDescent="0.25">
      <c r="A35" s="19" t="s">
        <v>44</v>
      </c>
      <c r="B35" s="20" t="s">
        <v>138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 x14ac:dyDescent="0.25">
      <c r="A36" s="22" t="s">
        <v>44</v>
      </c>
      <c r="B36" s="22" t="s">
        <v>138</v>
      </c>
      <c r="C36" s="22" t="s">
        <v>139</v>
      </c>
      <c r="D36" s="22"/>
      <c r="E36" s="22"/>
      <c r="F36" s="22" t="s">
        <v>140</v>
      </c>
      <c r="G36" s="22"/>
      <c r="H36" s="22"/>
      <c r="I36" s="22"/>
      <c r="J36" s="22"/>
      <c r="K36" s="23"/>
      <c r="L36" s="23"/>
      <c r="M36" s="16" t="s">
        <v>141</v>
      </c>
    </row>
    <row r="37" spans="1:13" x14ac:dyDescent="0.25">
      <c r="A37" s="22" t="s">
        <v>44</v>
      </c>
      <c r="B37" s="22" t="s">
        <v>138</v>
      </c>
      <c r="C37" s="22" t="s">
        <v>142</v>
      </c>
      <c r="D37" s="22"/>
      <c r="E37" s="22"/>
      <c r="F37" s="22" t="s">
        <v>143</v>
      </c>
      <c r="G37" s="22"/>
      <c r="H37" s="22"/>
      <c r="I37" s="22"/>
      <c r="J37" s="22"/>
      <c r="K37" s="23"/>
      <c r="L37" s="23"/>
      <c r="M37" s="16" t="s">
        <v>141</v>
      </c>
    </row>
    <row r="38" spans="1:13" x14ac:dyDescent="0.25">
      <c r="A38" s="22" t="s">
        <v>44</v>
      </c>
      <c r="B38" s="22" t="s">
        <v>138</v>
      </c>
      <c r="C38" s="22" t="s">
        <v>144</v>
      </c>
      <c r="D38" s="22"/>
      <c r="E38" s="22"/>
      <c r="F38" s="22" t="s">
        <v>145</v>
      </c>
      <c r="G38" s="22"/>
      <c r="H38" s="22"/>
      <c r="I38" s="22"/>
      <c r="J38" s="22"/>
      <c r="K38" s="23"/>
      <c r="L38" s="23"/>
      <c r="M38" s="16" t="s">
        <v>141</v>
      </c>
    </row>
    <row r="39" spans="1:13" x14ac:dyDescent="0.25">
      <c r="A39" s="22" t="s">
        <v>44</v>
      </c>
      <c r="B39" s="22" t="s">
        <v>138</v>
      </c>
      <c r="C39" s="22" t="s">
        <v>146</v>
      </c>
      <c r="D39" s="22"/>
      <c r="E39" s="22"/>
      <c r="F39" s="22" t="s">
        <v>147</v>
      </c>
      <c r="G39" s="22"/>
      <c r="H39" s="22"/>
      <c r="I39" s="22"/>
      <c r="J39" s="22"/>
      <c r="K39" s="23"/>
      <c r="L39" s="23"/>
      <c r="M39" s="16" t="s">
        <v>141</v>
      </c>
    </row>
    <row r="40" spans="1:13" x14ac:dyDescent="0.25">
      <c r="A40" s="22" t="s">
        <v>44</v>
      </c>
      <c r="B40" s="22" t="s">
        <v>138</v>
      </c>
      <c r="C40" s="22" t="s">
        <v>148</v>
      </c>
      <c r="D40" s="22"/>
      <c r="E40" s="22"/>
      <c r="F40" s="22">
        <v>107000</v>
      </c>
      <c r="G40" s="22"/>
      <c r="H40" s="24" t="s">
        <v>149</v>
      </c>
      <c r="I40" s="22" t="s">
        <v>150</v>
      </c>
      <c r="J40" s="22" t="s">
        <v>151</v>
      </c>
      <c r="K40" s="23"/>
      <c r="L40" s="23"/>
      <c r="M40" s="16" t="s">
        <v>152</v>
      </c>
    </row>
    <row r="41" spans="1:13" x14ac:dyDescent="0.25">
      <c r="A41" s="22" t="s">
        <v>44</v>
      </c>
      <c r="B41" s="22" t="s">
        <v>138</v>
      </c>
      <c r="C41" s="22" t="s">
        <v>153</v>
      </c>
      <c r="D41" s="22"/>
      <c r="E41" s="22"/>
      <c r="F41" s="22">
        <v>1.2E-2</v>
      </c>
      <c r="G41" s="22"/>
      <c r="H41" s="24" t="s">
        <v>154</v>
      </c>
      <c r="I41" s="24" t="s">
        <v>155</v>
      </c>
      <c r="J41" s="24" t="s">
        <v>151</v>
      </c>
      <c r="K41" s="23"/>
      <c r="L41" s="23"/>
      <c r="M41" s="16"/>
    </row>
    <row r="42" spans="1:13" x14ac:dyDescent="0.25">
      <c r="A42" s="26" t="s">
        <v>44</v>
      </c>
      <c r="B42" s="26" t="s">
        <v>138</v>
      </c>
      <c r="C42" s="26" t="s">
        <v>156</v>
      </c>
      <c r="D42" s="26"/>
      <c r="E42" s="26"/>
      <c r="F42" s="26">
        <v>8.8000000000000005E-3</v>
      </c>
      <c r="G42" s="26"/>
      <c r="H42" s="26" t="s">
        <v>157</v>
      </c>
      <c r="I42" s="26" t="s">
        <v>158</v>
      </c>
      <c r="J42" s="26" t="s">
        <v>151</v>
      </c>
      <c r="K42" s="27"/>
      <c r="L42" s="27"/>
      <c r="M42" s="26" t="s">
        <v>159</v>
      </c>
    </row>
    <row r="43" spans="1:13" x14ac:dyDescent="0.25">
      <c r="A43" s="22" t="s">
        <v>44</v>
      </c>
      <c r="B43" s="22" t="s">
        <v>138</v>
      </c>
      <c r="C43" s="22" t="s">
        <v>160</v>
      </c>
      <c r="D43" s="22"/>
      <c r="E43" s="22"/>
      <c r="F43" s="22">
        <v>76</v>
      </c>
      <c r="G43" s="22"/>
      <c r="H43" s="22" t="s">
        <v>149</v>
      </c>
      <c r="I43" s="24" t="s">
        <v>161</v>
      </c>
      <c r="J43" s="24" t="s">
        <v>151</v>
      </c>
      <c r="K43" s="23"/>
      <c r="L43" s="23"/>
      <c r="M43" s="16"/>
    </row>
    <row r="44" spans="1:13" x14ac:dyDescent="0.25">
      <c r="A44" s="22" t="s">
        <v>44</v>
      </c>
      <c r="B44" s="22" t="s">
        <v>138</v>
      </c>
      <c r="C44" s="22" t="s">
        <v>162</v>
      </c>
      <c r="D44" s="22"/>
      <c r="E44" s="22"/>
      <c r="F44" s="22" t="s">
        <v>163</v>
      </c>
      <c r="G44" s="22"/>
      <c r="H44" s="22" t="s">
        <v>164</v>
      </c>
      <c r="I44" s="24" t="s">
        <v>165</v>
      </c>
      <c r="J44" s="24" t="s">
        <v>151</v>
      </c>
      <c r="K44" s="23"/>
      <c r="L44" s="23"/>
      <c r="M44" s="16"/>
    </row>
    <row r="45" spans="1:13" x14ac:dyDescent="0.25">
      <c r="A45" s="22" t="s">
        <v>44</v>
      </c>
      <c r="B45" s="22" t="s">
        <v>138</v>
      </c>
      <c r="C45" s="22" t="s">
        <v>166</v>
      </c>
      <c r="D45" s="22"/>
      <c r="E45" s="22"/>
      <c r="F45" s="22">
        <v>50.3</v>
      </c>
      <c r="G45" s="22"/>
      <c r="H45" s="22" t="s">
        <v>164</v>
      </c>
      <c r="I45" s="24" t="s">
        <v>167</v>
      </c>
      <c r="J45" s="24" t="s">
        <v>151</v>
      </c>
      <c r="K45" s="23"/>
      <c r="L45" s="23"/>
      <c r="M45" s="16"/>
    </row>
    <row r="46" spans="1:13" x14ac:dyDescent="0.25">
      <c r="A46" s="22" t="s">
        <v>44</v>
      </c>
      <c r="B46" s="22" t="s">
        <v>138</v>
      </c>
      <c r="C46" s="22" t="s">
        <v>168</v>
      </c>
      <c r="D46" s="22"/>
      <c r="E46" s="22"/>
      <c r="F46" s="22">
        <v>536</v>
      </c>
      <c r="G46" s="22"/>
      <c r="H46" s="25" t="s">
        <v>169</v>
      </c>
      <c r="I46" s="24" t="s">
        <v>170</v>
      </c>
      <c r="J46" s="24" t="s">
        <v>151</v>
      </c>
      <c r="K46" s="23"/>
      <c r="L46" s="23"/>
      <c r="M46" s="24" t="s">
        <v>613</v>
      </c>
    </row>
    <row r="47" spans="1:13" x14ac:dyDescent="0.25">
      <c r="A47" s="22" t="s">
        <v>44</v>
      </c>
      <c r="B47" s="22" t="s">
        <v>138</v>
      </c>
      <c r="C47" s="22" t="s">
        <v>171</v>
      </c>
      <c r="D47" s="22"/>
      <c r="E47" s="22"/>
      <c r="F47" s="22">
        <v>1596</v>
      </c>
      <c r="G47" s="22"/>
      <c r="H47" s="25" t="s">
        <v>169</v>
      </c>
      <c r="I47" s="24" t="s">
        <v>172</v>
      </c>
      <c r="J47" s="24" t="s">
        <v>151</v>
      </c>
      <c r="K47" s="23"/>
      <c r="L47" s="23"/>
      <c r="M47" s="24" t="s">
        <v>613</v>
      </c>
    </row>
    <row r="48" spans="1:13" ht="30" customHeight="1" x14ac:dyDescent="0.25">
      <c r="A48" s="22" t="s">
        <v>44</v>
      </c>
      <c r="B48" s="22" t="s">
        <v>138</v>
      </c>
      <c r="C48" s="22" t="s">
        <v>173</v>
      </c>
      <c r="D48" s="22"/>
      <c r="E48" s="22"/>
      <c r="F48" s="22">
        <v>159</v>
      </c>
      <c r="G48" s="22"/>
      <c r="H48" s="22" t="s">
        <v>149</v>
      </c>
      <c r="I48" s="24" t="s">
        <v>174</v>
      </c>
      <c r="J48" s="24" t="s">
        <v>151</v>
      </c>
      <c r="K48" s="23"/>
      <c r="L48" s="23"/>
      <c r="M48" s="22" t="s">
        <v>175</v>
      </c>
    </row>
    <row r="49" spans="1:13" ht="30" customHeight="1" x14ac:dyDescent="0.25">
      <c r="A49" s="22" t="s">
        <v>44</v>
      </c>
      <c r="B49" s="22" t="s">
        <v>138</v>
      </c>
      <c r="C49" s="22" t="s">
        <v>176</v>
      </c>
      <c r="D49" s="22"/>
      <c r="E49" s="22"/>
      <c r="F49" s="22">
        <v>1.21</v>
      </c>
      <c r="G49" s="22"/>
      <c r="H49" s="25" t="s">
        <v>177</v>
      </c>
      <c r="I49" s="24" t="s">
        <v>178</v>
      </c>
      <c r="J49" s="24" t="s">
        <v>151</v>
      </c>
      <c r="K49" s="23"/>
      <c r="L49" s="23"/>
      <c r="M49" s="22" t="s">
        <v>179</v>
      </c>
    </row>
    <row r="50" spans="1:13" x14ac:dyDescent="0.25">
      <c r="A50" s="26" t="s">
        <v>44</v>
      </c>
      <c r="B50" s="26" t="s">
        <v>138</v>
      </c>
      <c r="C50" s="26" t="s">
        <v>180</v>
      </c>
      <c r="D50" s="26"/>
      <c r="E50" s="26"/>
      <c r="F50" s="26">
        <v>5.62</v>
      </c>
      <c r="G50" s="26"/>
      <c r="H50" s="28" t="s">
        <v>181</v>
      </c>
      <c r="I50" s="26" t="s">
        <v>182</v>
      </c>
      <c r="J50" s="26" t="s">
        <v>151</v>
      </c>
      <c r="K50" s="27"/>
      <c r="L50" s="27"/>
      <c r="M50" s="29" t="s">
        <v>183</v>
      </c>
    </row>
    <row r="51" spans="1:13" x14ac:dyDescent="0.25">
      <c r="A51" s="22" t="s">
        <v>44</v>
      </c>
      <c r="B51" s="22" t="s">
        <v>138</v>
      </c>
      <c r="C51" s="22" t="s">
        <v>184</v>
      </c>
      <c r="D51" s="22"/>
      <c r="E51" s="22"/>
      <c r="F51" s="22" t="s">
        <v>185</v>
      </c>
      <c r="G51" s="22"/>
      <c r="H51" s="22"/>
      <c r="I51" s="22"/>
      <c r="J51" s="22"/>
      <c r="K51" s="23"/>
      <c r="L51" s="23"/>
      <c r="M51" s="16" t="s">
        <v>141</v>
      </c>
    </row>
    <row r="52" spans="1:13" x14ac:dyDescent="0.25">
      <c r="A52" s="22" t="s">
        <v>44</v>
      </c>
      <c r="B52" s="22" t="s">
        <v>138</v>
      </c>
      <c r="C52" s="22" t="s">
        <v>186</v>
      </c>
      <c r="D52" s="22"/>
      <c r="E52" s="22"/>
      <c r="F52" s="22" t="s">
        <v>187</v>
      </c>
      <c r="G52" s="22"/>
      <c r="H52" s="22"/>
      <c r="I52" s="22"/>
      <c r="J52" s="22"/>
      <c r="K52" s="23"/>
      <c r="L52" s="23"/>
      <c r="M52" s="24" t="s">
        <v>188</v>
      </c>
    </row>
    <row r="53" spans="1:13" x14ac:dyDescent="0.25">
      <c r="A53" s="22" t="s">
        <v>44</v>
      </c>
      <c r="B53" s="22" t="s">
        <v>138</v>
      </c>
      <c r="C53" s="22" t="s">
        <v>189</v>
      </c>
      <c r="D53" s="22"/>
      <c r="E53" s="22"/>
      <c r="F53" s="22" t="s">
        <v>190</v>
      </c>
      <c r="G53" s="22"/>
      <c r="H53" s="22"/>
      <c r="I53" s="22"/>
      <c r="J53" s="22"/>
      <c r="K53" s="23"/>
      <c r="L53" s="23"/>
      <c r="M53" s="16" t="s">
        <v>141</v>
      </c>
    </row>
    <row r="54" spans="1:13" x14ac:dyDescent="0.25">
      <c r="A54" s="22" t="s">
        <v>44</v>
      </c>
      <c r="B54" s="22" t="s">
        <v>138</v>
      </c>
      <c r="C54" s="22" t="s">
        <v>191</v>
      </c>
      <c r="D54" s="22"/>
      <c r="E54" s="22"/>
      <c r="F54" s="22" t="s">
        <v>192</v>
      </c>
      <c r="G54" s="22"/>
      <c r="H54" s="22"/>
      <c r="I54" s="22"/>
      <c r="J54" s="22"/>
      <c r="K54" s="23"/>
      <c r="L54" s="23"/>
      <c r="M54" s="24" t="s">
        <v>193</v>
      </c>
    </row>
    <row r="55" spans="1:13" x14ac:dyDescent="0.25">
      <c r="A55" s="22" t="s">
        <v>44</v>
      </c>
      <c r="B55" s="22" t="s">
        <v>138</v>
      </c>
      <c r="C55" s="22" t="s">
        <v>194</v>
      </c>
      <c r="D55" s="22" t="s">
        <v>195</v>
      </c>
      <c r="E55" s="22"/>
      <c r="F55" s="22"/>
      <c r="G55" s="22"/>
      <c r="H55" s="22"/>
      <c r="I55" s="22"/>
      <c r="J55" s="22"/>
      <c r="K55" s="23"/>
      <c r="L55" s="23"/>
      <c r="M55" s="16" t="s">
        <v>141</v>
      </c>
    </row>
  </sheetData>
  <autoFilter ref="A1:M34" xr:uid="{00000000-0009-0000-0000-000002000000}"/>
  <dataValidations disablePrompts="1" count="1">
    <dataValidation type="list" errorTitle="Invalid value" error="Please enter TRUE or FALSE" sqref="A2:A34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9"/>
  <sheetViews>
    <sheetView topLeftCell="C1" workbookViewId="0">
      <pane ySplit="1" topLeftCell="A68" activePane="bottomLeft" state="frozen"/>
      <selection pane="bottomLeft" activeCell="M87" sqref="M87"/>
    </sheetView>
  </sheetViews>
  <sheetFormatPr defaultRowHeight="15" x14ac:dyDescent="0.25"/>
  <cols>
    <col min="1" max="1" width="12" customWidth="1"/>
    <col min="2" max="2" width="20" customWidth="1"/>
    <col min="3" max="3" width="40" customWidth="1"/>
    <col min="4" max="4" width="22" customWidth="1"/>
    <col min="5" max="7" width="14" customWidth="1"/>
    <col min="8" max="8" width="10" customWidth="1"/>
    <col min="9" max="10" width="12" customWidth="1"/>
    <col min="11" max="12" width="14" customWidth="1"/>
    <col min="13" max="13" width="50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3" t="s">
        <v>12</v>
      </c>
    </row>
    <row r="2" spans="1:13" x14ac:dyDescent="0.25">
      <c r="A2" s="6" t="b">
        <v>0</v>
      </c>
      <c r="B2" s="7" t="s">
        <v>13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b">
        <v>0</v>
      </c>
      <c r="B3" s="9" t="s">
        <v>13</v>
      </c>
      <c r="C3" s="9" t="s">
        <v>345</v>
      </c>
      <c r="D3" s="9" t="s">
        <v>346</v>
      </c>
      <c r="E3" s="9" t="s">
        <v>347</v>
      </c>
      <c r="F3" s="9"/>
      <c r="G3" s="9" t="s">
        <v>348</v>
      </c>
      <c r="H3" s="9" t="s">
        <v>19</v>
      </c>
      <c r="I3" s="9"/>
      <c r="J3" s="9"/>
      <c r="K3" s="9"/>
      <c r="L3" s="9"/>
      <c r="M3" s="9"/>
    </row>
    <row r="4" spans="1:13" x14ac:dyDescent="0.25">
      <c r="A4" s="9" t="b">
        <v>0</v>
      </c>
      <c r="B4" s="9" t="s">
        <v>13</v>
      </c>
      <c r="C4" s="9" t="s">
        <v>349</v>
      </c>
      <c r="D4" s="9" t="s">
        <v>350</v>
      </c>
      <c r="E4" s="9" t="s">
        <v>351</v>
      </c>
      <c r="F4" s="9"/>
      <c r="G4" s="9" t="s">
        <v>347</v>
      </c>
      <c r="H4" s="9" t="s">
        <v>19</v>
      </c>
      <c r="I4" s="9"/>
      <c r="J4" s="9"/>
      <c r="K4" s="9"/>
      <c r="L4" s="9"/>
      <c r="M4" s="9"/>
    </row>
    <row r="5" spans="1:13" x14ac:dyDescent="0.25">
      <c r="A5" s="9" t="b">
        <v>0</v>
      </c>
      <c r="B5" s="9" t="s">
        <v>13</v>
      </c>
      <c r="C5" s="9" t="s">
        <v>352</v>
      </c>
      <c r="D5" s="9" t="s">
        <v>353</v>
      </c>
      <c r="E5" s="9" t="s">
        <v>40</v>
      </c>
      <c r="F5" s="9"/>
      <c r="G5" s="9" t="s">
        <v>354</v>
      </c>
      <c r="H5" s="9" t="s">
        <v>355</v>
      </c>
      <c r="I5" s="9"/>
      <c r="J5" s="9"/>
      <c r="K5" s="9"/>
      <c r="L5" s="9"/>
      <c r="M5" s="9"/>
    </row>
    <row r="6" spans="1:13" x14ac:dyDescent="0.25">
      <c r="A6" s="9" t="b">
        <v>0</v>
      </c>
      <c r="B6" s="9" t="s">
        <v>13</v>
      </c>
      <c r="C6" s="9" t="s">
        <v>356</v>
      </c>
      <c r="D6" s="9" t="s">
        <v>357</v>
      </c>
      <c r="E6" s="9" t="s">
        <v>358</v>
      </c>
      <c r="F6" s="9"/>
      <c r="G6" s="9" t="s">
        <v>359</v>
      </c>
      <c r="H6" s="9" t="s">
        <v>35</v>
      </c>
      <c r="I6" s="9"/>
      <c r="J6" s="9"/>
      <c r="K6" s="9"/>
      <c r="L6" s="9"/>
      <c r="M6" s="9"/>
    </row>
    <row r="7" spans="1:13" x14ac:dyDescent="0.25">
      <c r="A7" s="6" t="b">
        <v>1</v>
      </c>
      <c r="B7" s="7" t="s">
        <v>360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25">
      <c r="A8" s="9" t="b">
        <v>0</v>
      </c>
      <c r="B8" s="9" t="s">
        <v>360</v>
      </c>
      <c r="C8" s="9" t="s">
        <v>361</v>
      </c>
      <c r="D8" s="9" t="s">
        <v>362</v>
      </c>
      <c r="E8" s="9"/>
      <c r="F8" s="9" t="s">
        <v>359</v>
      </c>
      <c r="G8" s="9"/>
      <c r="H8" s="9" t="s">
        <v>50</v>
      </c>
      <c r="I8" s="9"/>
      <c r="J8" s="9"/>
      <c r="K8" s="9"/>
      <c r="L8" s="9"/>
      <c r="M8" s="9"/>
    </row>
    <row r="9" spans="1:13" x14ac:dyDescent="0.25">
      <c r="A9" s="9" t="b">
        <v>0</v>
      </c>
      <c r="B9" s="9" t="s">
        <v>360</v>
      </c>
      <c r="C9" s="9" t="s">
        <v>363</v>
      </c>
      <c r="D9" s="9"/>
      <c r="E9" s="9" t="s">
        <v>364</v>
      </c>
      <c r="F9" s="9"/>
      <c r="G9" s="9" t="s">
        <v>32</v>
      </c>
      <c r="H9" s="9" t="s">
        <v>50</v>
      </c>
      <c r="I9" s="9" t="s">
        <v>365</v>
      </c>
      <c r="J9" s="9" t="s">
        <v>366</v>
      </c>
      <c r="K9" s="9">
        <v>-0.01</v>
      </c>
      <c r="L9" s="9">
        <v>0.01</v>
      </c>
      <c r="M9" s="9"/>
    </row>
    <row r="10" spans="1:13" x14ac:dyDescent="0.25">
      <c r="A10" s="9" t="b">
        <v>0</v>
      </c>
      <c r="B10" s="9" t="s">
        <v>360</v>
      </c>
      <c r="C10" s="9" t="s">
        <v>367</v>
      </c>
      <c r="D10" s="9"/>
      <c r="E10" s="9" t="s">
        <v>364</v>
      </c>
      <c r="F10" s="9"/>
      <c r="G10" s="9" t="s">
        <v>32</v>
      </c>
      <c r="H10" s="9" t="s">
        <v>50</v>
      </c>
      <c r="I10" s="9" t="s">
        <v>368</v>
      </c>
      <c r="J10" s="9" t="s">
        <v>369</v>
      </c>
      <c r="K10" s="9">
        <v>-0.01</v>
      </c>
      <c r="L10" s="9">
        <v>0.01</v>
      </c>
      <c r="M10" s="9"/>
    </row>
    <row r="11" spans="1:13" x14ac:dyDescent="0.25">
      <c r="A11" s="9" t="b">
        <v>0</v>
      </c>
      <c r="B11" s="7" t="s">
        <v>370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25">
      <c r="A12" s="9" t="b">
        <v>0</v>
      </c>
      <c r="B12" s="9" t="s">
        <v>370</v>
      </c>
      <c r="C12" s="9" t="s">
        <v>371</v>
      </c>
      <c r="D12" s="9" t="s">
        <v>372</v>
      </c>
      <c r="E12" s="9" t="s">
        <v>373</v>
      </c>
      <c r="F12" s="9" t="s">
        <v>374</v>
      </c>
      <c r="G12" s="9" t="s">
        <v>375</v>
      </c>
      <c r="H12" s="9" t="s">
        <v>19</v>
      </c>
      <c r="I12" s="9" t="s">
        <v>376</v>
      </c>
      <c r="J12" s="9" t="s">
        <v>300</v>
      </c>
      <c r="K12" s="9">
        <v>0.77</v>
      </c>
      <c r="L12" s="9">
        <v>0.9</v>
      </c>
      <c r="M12" s="9"/>
    </row>
    <row r="13" spans="1:13" x14ac:dyDescent="0.25">
      <c r="A13" s="9" t="b">
        <v>0</v>
      </c>
      <c r="B13" s="9" t="s">
        <v>370</v>
      </c>
      <c r="C13" s="9" t="s">
        <v>377</v>
      </c>
      <c r="D13" s="9" t="s">
        <v>378</v>
      </c>
      <c r="E13" s="9" t="s">
        <v>379</v>
      </c>
      <c r="F13" s="9" t="s">
        <v>380</v>
      </c>
      <c r="G13" s="9" t="s">
        <v>381</v>
      </c>
      <c r="H13" s="9" t="s">
        <v>19</v>
      </c>
      <c r="I13" s="9" t="s">
        <v>382</v>
      </c>
      <c r="J13" s="9" t="s">
        <v>300</v>
      </c>
      <c r="K13" s="9">
        <v>0.67</v>
      </c>
      <c r="L13" s="9">
        <v>0.78</v>
      </c>
      <c r="M13" s="9"/>
    </row>
    <row r="14" spans="1:13" x14ac:dyDescent="0.25">
      <c r="A14" s="9" t="b">
        <v>0</v>
      </c>
      <c r="B14" s="9" t="s">
        <v>370</v>
      </c>
      <c r="C14" s="9" t="s">
        <v>383</v>
      </c>
      <c r="D14" s="9" t="s">
        <v>384</v>
      </c>
      <c r="E14" s="9" t="s">
        <v>385</v>
      </c>
      <c r="F14" s="9"/>
      <c r="G14" s="9"/>
      <c r="H14" s="9" t="s">
        <v>19</v>
      </c>
      <c r="I14" s="9" t="s">
        <v>248</v>
      </c>
      <c r="J14" s="9" t="s">
        <v>300</v>
      </c>
      <c r="K14" s="9">
        <v>0.05</v>
      </c>
      <c r="L14" s="9"/>
      <c r="M14" s="9"/>
    </row>
    <row r="15" spans="1:13" x14ac:dyDescent="0.25">
      <c r="A15" s="9" t="b">
        <v>0</v>
      </c>
      <c r="B15" s="9" t="s">
        <v>370</v>
      </c>
      <c r="C15" s="9" t="s">
        <v>386</v>
      </c>
      <c r="D15" s="9"/>
      <c r="E15" s="9" t="s">
        <v>387</v>
      </c>
      <c r="F15" s="9"/>
      <c r="G15" s="9"/>
      <c r="H15" s="9"/>
      <c r="I15" s="9" t="s">
        <v>388</v>
      </c>
      <c r="J15" s="9" t="s">
        <v>329</v>
      </c>
      <c r="K15" s="9">
        <v>1</v>
      </c>
      <c r="L15" s="9"/>
      <c r="M15" s="9" t="s">
        <v>389</v>
      </c>
    </row>
    <row r="16" spans="1:13" x14ac:dyDescent="0.25">
      <c r="A16" s="9" t="b">
        <v>0</v>
      </c>
      <c r="B16" s="7" t="s">
        <v>390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x14ac:dyDescent="0.25">
      <c r="A17" s="9" t="b">
        <v>0</v>
      </c>
      <c r="B17" s="9" t="s">
        <v>390</v>
      </c>
      <c r="C17" s="9" t="s">
        <v>391</v>
      </c>
      <c r="D17" s="9" t="s">
        <v>392</v>
      </c>
      <c r="E17" s="9" t="s">
        <v>393</v>
      </c>
      <c r="F17" s="9"/>
      <c r="G17" s="9"/>
      <c r="H17" s="9" t="s">
        <v>394</v>
      </c>
      <c r="I17" s="9" t="s">
        <v>395</v>
      </c>
      <c r="J17" s="9" t="s">
        <v>91</v>
      </c>
      <c r="K17" s="9">
        <v>-3.0000000000000001E-5</v>
      </c>
      <c r="L17" s="9"/>
      <c r="M17" s="9"/>
    </row>
    <row r="18" spans="1:13" x14ac:dyDescent="0.25">
      <c r="A18" s="9" t="b">
        <v>0</v>
      </c>
      <c r="B18" s="9" t="s">
        <v>390</v>
      </c>
      <c r="C18" s="9" t="s">
        <v>396</v>
      </c>
      <c r="D18" s="9" t="s">
        <v>397</v>
      </c>
      <c r="E18" s="9"/>
      <c r="F18" s="9"/>
      <c r="G18" s="9" t="s">
        <v>398</v>
      </c>
      <c r="H18" s="9" t="s">
        <v>394</v>
      </c>
      <c r="I18" s="9" t="s">
        <v>74</v>
      </c>
      <c r="J18" s="9" t="s">
        <v>91</v>
      </c>
      <c r="K18" s="9"/>
      <c r="L18" s="9">
        <v>1.5E-5</v>
      </c>
      <c r="M18" s="9"/>
    </row>
    <row r="19" spans="1:13" x14ac:dyDescent="0.25">
      <c r="A19" s="9" t="b">
        <v>0</v>
      </c>
      <c r="B19" s="7" t="s">
        <v>399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25">
      <c r="A20" s="9" t="b">
        <v>0</v>
      </c>
      <c r="B20" s="9" t="s">
        <v>399</v>
      </c>
      <c r="C20" s="9" t="s">
        <v>400</v>
      </c>
      <c r="D20" s="9" t="s">
        <v>401</v>
      </c>
      <c r="E20" s="9" t="s">
        <v>115</v>
      </c>
      <c r="F20" s="9" t="s">
        <v>402</v>
      </c>
      <c r="G20" s="9" t="s">
        <v>403</v>
      </c>
      <c r="H20" s="9" t="s">
        <v>404</v>
      </c>
      <c r="I20" s="9" t="s">
        <v>83</v>
      </c>
      <c r="J20" s="9" t="s">
        <v>52</v>
      </c>
      <c r="K20" s="9">
        <v>100</v>
      </c>
      <c r="L20" s="9">
        <v>10000</v>
      </c>
      <c r="M20" s="9"/>
    </row>
    <row r="21" spans="1:13" x14ac:dyDescent="0.25">
      <c r="A21" s="9" t="b">
        <v>0</v>
      </c>
      <c r="B21" s="9" t="s">
        <v>399</v>
      </c>
      <c r="C21" s="9" t="s">
        <v>405</v>
      </c>
      <c r="D21" s="9" t="s">
        <v>298</v>
      </c>
      <c r="E21" s="9" t="s">
        <v>34</v>
      </c>
      <c r="F21" s="9" t="s">
        <v>114</v>
      </c>
      <c r="G21" s="9"/>
      <c r="H21" s="9" t="s">
        <v>394</v>
      </c>
      <c r="I21" s="9" t="s">
        <v>406</v>
      </c>
      <c r="J21" s="9" t="s">
        <v>52</v>
      </c>
      <c r="K21" s="9">
        <v>4.0000000000000003E-5</v>
      </c>
      <c r="L21" s="9"/>
      <c r="M21" s="9"/>
    </row>
    <row r="22" spans="1:13" x14ac:dyDescent="0.25">
      <c r="A22" s="9" t="b">
        <v>0</v>
      </c>
      <c r="B22" s="9" t="s">
        <v>399</v>
      </c>
      <c r="C22" s="9" t="s">
        <v>407</v>
      </c>
      <c r="D22" s="9" t="s">
        <v>302</v>
      </c>
      <c r="E22" s="9" t="s">
        <v>34</v>
      </c>
      <c r="F22" s="9" t="s">
        <v>114</v>
      </c>
      <c r="G22" s="9"/>
      <c r="H22" s="9" t="s">
        <v>394</v>
      </c>
      <c r="I22" s="9" t="s">
        <v>408</v>
      </c>
      <c r="J22" s="9" t="s">
        <v>52</v>
      </c>
      <c r="K22" s="9">
        <v>4.0000000000000003E-5</v>
      </c>
      <c r="L22" s="9"/>
      <c r="M22" s="9"/>
    </row>
    <row r="23" spans="1:13" x14ac:dyDescent="0.25">
      <c r="A23" s="9" t="b">
        <v>0</v>
      </c>
      <c r="B23" s="7" t="s">
        <v>409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x14ac:dyDescent="0.25">
      <c r="A24" s="9" t="b">
        <v>0</v>
      </c>
      <c r="B24" s="9" t="s">
        <v>409</v>
      </c>
      <c r="C24" s="9" t="s">
        <v>410</v>
      </c>
      <c r="D24" s="9" t="s">
        <v>411</v>
      </c>
      <c r="E24" s="9" t="s">
        <v>364</v>
      </c>
      <c r="F24" s="9"/>
      <c r="G24" s="9"/>
      <c r="H24" s="9" t="s">
        <v>412</v>
      </c>
      <c r="I24" s="9" t="s">
        <v>413</v>
      </c>
      <c r="J24" s="9" t="s">
        <v>414</v>
      </c>
      <c r="K24" s="9">
        <v>-10</v>
      </c>
      <c r="L24" s="9"/>
      <c r="M24" s="9"/>
    </row>
    <row r="25" spans="1:13" x14ac:dyDescent="0.25">
      <c r="A25" s="9" t="b">
        <v>0</v>
      </c>
      <c r="B25" s="9" t="s">
        <v>409</v>
      </c>
      <c r="C25" s="9" t="s">
        <v>415</v>
      </c>
      <c r="D25" s="9" t="s">
        <v>416</v>
      </c>
      <c r="E25" s="9" t="s">
        <v>89</v>
      </c>
      <c r="F25" s="9"/>
      <c r="G25" s="9" t="s">
        <v>417</v>
      </c>
      <c r="H25" s="9" t="s">
        <v>19</v>
      </c>
      <c r="I25" s="9" t="s">
        <v>418</v>
      </c>
      <c r="J25" s="9" t="s">
        <v>414</v>
      </c>
      <c r="K25" s="9">
        <v>2.97</v>
      </c>
      <c r="L25" s="9">
        <v>3.66</v>
      </c>
      <c r="M25" s="9"/>
    </row>
    <row r="26" spans="1:13" x14ac:dyDescent="0.25">
      <c r="A26" s="9" t="b">
        <v>0</v>
      </c>
      <c r="B26" s="9" t="s">
        <v>409</v>
      </c>
      <c r="C26" s="9" t="s">
        <v>419</v>
      </c>
      <c r="D26" s="9" t="s">
        <v>420</v>
      </c>
      <c r="E26" s="9" t="s">
        <v>421</v>
      </c>
      <c r="F26" s="9" t="s">
        <v>422</v>
      </c>
      <c r="G26" s="9" t="s">
        <v>423</v>
      </c>
      <c r="H26" s="9" t="s">
        <v>19</v>
      </c>
      <c r="I26" s="9" t="s">
        <v>424</v>
      </c>
      <c r="J26" s="9" t="s">
        <v>128</v>
      </c>
      <c r="K26" s="9">
        <v>0.56999999999999995</v>
      </c>
      <c r="L26" s="9">
        <v>0.63</v>
      </c>
      <c r="M26" s="9"/>
    </row>
    <row r="27" spans="1:13" x14ac:dyDescent="0.25">
      <c r="A27" s="9" t="b">
        <v>0</v>
      </c>
      <c r="B27" s="7" t="s">
        <v>425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x14ac:dyDescent="0.25">
      <c r="A28" s="9" t="b">
        <v>0</v>
      </c>
      <c r="B28" s="9" t="s">
        <v>425</v>
      </c>
      <c r="C28" s="9" t="s">
        <v>426</v>
      </c>
      <c r="D28" s="9" t="s">
        <v>427</v>
      </c>
      <c r="E28" s="9" t="s">
        <v>428</v>
      </c>
      <c r="F28" s="9" t="s">
        <v>429</v>
      </c>
      <c r="G28" s="9" t="s">
        <v>430</v>
      </c>
      <c r="H28" s="9" t="s">
        <v>19</v>
      </c>
      <c r="I28" s="9" t="s">
        <v>431</v>
      </c>
      <c r="J28" s="9" t="s">
        <v>432</v>
      </c>
      <c r="K28" s="9">
        <v>4.4000000000000004</v>
      </c>
      <c r="L28" s="9">
        <v>4.8</v>
      </c>
      <c r="M28" s="9"/>
    </row>
    <row r="29" spans="1:13" x14ac:dyDescent="0.25">
      <c r="A29" s="9" t="b">
        <v>0</v>
      </c>
      <c r="B29" s="9" t="s">
        <v>425</v>
      </c>
      <c r="C29" s="9" t="s">
        <v>433</v>
      </c>
      <c r="D29" s="9" t="s">
        <v>434</v>
      </c>
      <c r="E29" s="9" t="s">
        <v>435</v>
      </c>
      <c r="F29" s="9" t="s">
        <v>436</v>
      </c>
      <c r="G29" s="9" t="s">
        <v>437</v>
      </c>
      <c r="H29" s="9" t="s">
        <v>19</v>
      </c>
      <c r="I29" s="9" t="s">
        <v>438</v>
      </c>
      <c r="J29" s="9" t="s">
        <v>432</v>
      </c>
      <c r="K29" s="9">
        <v>4.12</v>
      </c>
      <c r="L29" s="9">
        <v>4.53</v>
      </c>
      <c r="M29" s="9"/>
    </row>
    <row r="30" spans="1:13" x14ac:dyDescent="0.25">
      <c r="A30" s="9" t="b">
        <v>0</v>
      </c>
      <c r="B30" s="9" t="s">
        <v>425</v>
      </c>
      <c r="C30" s="9" t="s">
        <v>439</v>
      </c>
      <c r="D30" s="9" t="s">
        <v>440</v>
      </c>
      <c r="E30" s="9" t="s">
        <v>441</v>
      </c>
      <c r="F30" s="9"/>
      <c r="G30" s="9"/>
      <c r="H30" s="9" t="s">
        <v>19</v>
      </c>
      <c r="I30" s="9" t="s">
        <v>442</v>
      </c>
      <c r="J30" s="9" t="s">
        <v>432</v>
      </c>
      <c r="K30" s="9">
        <v>0.1</v>
      </c>
      <c r="L30" s="9"/>
      <c r="M30" s="9"/>
    </row>
    <row r="31" spans="1:13" x14ac:dyDescent="0.25">
      <c r="A31" s="9" t="b">
        <v>0</v>
      </c>
      <c r="B31" s="7" t="s">
        <v>443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x14ac:dyDescent="0.25">
      <c r="A32" s="9" t="b">
        <v>0</v>
      </c>
      <c r="B32" s="9" t="s">
        <v>443</v>
      </c>
      <c r="C32" s="9" t="s">
        <v>444</v>
      </c>
      <c r="D32" s="9" t="s">
        <v>445</v>
      </c>
      <c r="E32" s="9" t="s">
        <v>446</v>
      </c>
      <c r="F32" s="9" t="s">
        <v>447</v>
      </c>
      <c r="G32" s="9" t="s">
        <v>422</v>
      </c>
      <c r="H32" s="9" t="s">
        <v>19</v>
      </c>
      <c r="I32" s="9" t="s">
        <v>99</v>
      </c>
      <c r="J32" s="9" t="s">
        <v>128</v>
      </c>
      <c r="K32" s="9">
        <v>0.52</v>
      </c>
      <c r="L32" s="9">
        <v>0.6</v>
      </c>
      <c r="M32" s="9"/>
    </row>
    <row r="33" spans="1:13" x14ac:dyDescent="0.25">
      <c r="A33" s="9" t="b">
        <v>0</v>
      </c>
      <c r="B33" s="9" t="s">
        <v>443</v>
      </c>
      <c r="C33" s="9" t="s">
        <v>448</v>
      </c>
      <c r="D33" s="9" t="s">
        <v>449</v>
      </c>
      <c r="E33" s="9" t="s">
        <v>446</v>
      </c>
      <c r="F33" s="9" t="s">
        <v>447</v>
      </c>
      <c r="G33" s="9" t="s">
        <v>422</v>
      </c>
      <c r="H33" s="9" t="s">
        <v>19</v>
      </c>
      <c r="I33" s="9" t="s">
        <v>95</v>
      </c>
      <c r="J33" s="9" t="s">
        <v>128</v>
      </c>
      <c r="K33" s="9">
        <v>0.52</v>
      </c>
      <c r="L33" s="9">
        <v>0.6</v>
      </c>
      <c r="M33" s="9"/>
    </row>
    <row r="34" spans="1:13" x14ac:dyDescent="0.25">
      <c r="A34" s="9" t="b">
        <v>0</v>
      </c>
      <c r="B34" s="9" t="s">
        <v>443</v>
      </c>
      <c r="C34" s="9" t="s">
        <v>450</v>
      </c>
      <c r="D34" s="9" t="s">
        <v>451</v>
      </c>
      <c r="E34" s="9" t="s">
        <v>422</v>
      </c>
      <c r="F34" s="9" t="s">
        <v>452</v>
      </c>
      <c r="G34" s="9" t="s">
        <v>453</v>
      </c>
      <c r="H34" s="9" t="s">
        <v>19</v>
      </c>
      <c r="I34" s="9" t="s">
        <v>103</v>
      </c>
      <c r="J34" s="9" t="s">
        <v>128</v>
      </c>
      <c r="K34" s="9">
        <v>0.6</v>
      </c>
      <c r="L34" s="9">
        <v>0.68</v>
      </c>
      <c r="M34" s="9"/>
    </row>
    <row r="35" spans="1:13" x14ac:dyDescent="0.25">
      <c r="A35" s="9" t="b">
        <v>0</v>
      </c>
      <c r="B35" s="9" t="s">
        <v>443</v>
      </c>
      <c r="C35" s="9" t="s">
        <v>454</v>
      </c>
      <c r="D35" s="9" t="s">
        <v>455</v>
      </c>
      <c r="E35" s="9" t="s">
        <v>422</v>
      </c>
      <c r="F35" s="9" t="s">
        <v>452</v>
      </c>
      <c r="G35" s="9" t="s">
        <v>453</v>
      </c>
      <c r="H35" s="9" t="s">
        <v>19</v>
      </c>
      <c r="I35" s="9" t="s">
        <v>111</v>
      </c>
      <c r="J35" s="9" t="s">
        <v>128</v>
      </c>
      <c r="K35" s="9">
        <v>0.6</v>
      </c>
      <c r="L35" s="9">
        <v>0.68</v>
      </c>
      <c r="M35" s="9"/>
    </row>
    <row r="36" spans="1:13" x14ac:dyDescent="0.25">
      <c r="A36" s="9" t="b">
        <v>0</v>
      </c>
      <c r="B36" s="9" t="s">
        <v>443</v>
      </c>
      <c r="C36" s="9" t="s">
        <v>456</v>
      </c>
      <c r="D36" s="9" t="s">
        <v>457</v>
      </c>
      <c r="E36" s="9" t="s">
        <v>458</v>
      </c>
      <c r="F36" s="9" t="s">
        <v>459</v>
      </c>
      <c r="G36" s="9" t="s">
        <v>460</v>
      </c>
      <c r="H36" s="9" t="s">
        <v>461</v>
      </c>
      <c r="I36" s="9" t="s">
        <v>462</v>
      </c>
      <c r="J36" s="9" t="s">
        <v>128</v>
      </c>
      <c r="K36" s="9">
        <v>-10.5</v>
      </c>
      <c r="L36" s="9">
        <v>-2.5</v>
      </c>
      <c r="M36" s="9"/>
    </row>
    <row r="37" spans="1:13" x14ac:dyDescent="0.25">
      <c r="A37" s="9" t="b">
        <v>0</v>
      </c>
      <c r="B37" s="9" t="s">
        <v>443</v>
      </c>
      <c r="C37" s="9" t="s">
        <v>463</v>
      </c>
      <c r="D37" s="9" t="s">
        <v>464</v>
      </c>
      <c r="E37" s="9" t="s">
        <v>29</v>
      </c>
      <c r="F37" s="9" t="s">
        <v>465</v>
      </c>
      <c r="G37" s="9" t="s">
        <v>466</v>
      </c>
      <c r="H37" s="9" t="s">
        <v>461</v>
      </c>
      <c r="I37" s="9" t="s">
        <v>467</v>
      </c>
      <c r="J37" s="9" t="s">
        <v>128</v>
      </c>
      <c r="K37" s="9">
        <v>2.5</v>
      </c>
      <c r="L37" s="9">
        <v>10.5</v>
      </c>
      <c r="M37" s="9"/>
    </row>
    <row r="38" spans="1:13" x14ac:dyDescent="0.25">
      <c r="A38" s="9" t="b">
        <v>0</v>
      </c>
      <c r="B38" s="7" t="s">
        <v>468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x14ac:dyDescent="0.25">
      <c r="A39" s="9" t="b">
        <v>0</v>
      </c>
      <c r="B39" s="9" t="s">
        <v>468</v>
      </c>
      <c r="C39" s="9" t="s">
        <v>469</v>
      </c>
      <c r="D39" s="9" t="s">
        <v>470</v>
      </c>
      <c r="E39" s="9" t="s">
        <v>471</v>
      </c>
      <c r="F39" s="9"/>
      <c r="G39" s="9" t="s">
        <v>472</v>
      </c>
      <c r="H39" s="9" t="s">
        <v>19</v>
      </c>
      <c r="I39" s="9" t="s">
        <v>473</v>
      </c>
      <c r="J39" s="9" t="s">
        <v>342</v>
      </c>
      <c r="K39" s="9">
        <v>0.2</v>
      </c>
      <c r="L39" s="9">
        <v>0.8</v>
      </c>
      <c r="M39" s="9"/>
    </row>
    <row r="40" spans="1:13" x14ac:dyDescent="0.25">
      <c r="A40" s="9" t="b">
        <v>0</v>
      </c>
      <c r="B40" s="7" t="s">
        <v>474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x14ac:dyDescent="0.25">
      <c r="A41" s="9" t="b">
        <v>0</v>
      </c>
      <c r="B41" s="9" t="s">
        <v>474</v>
      </c>
      <c r="C41" s="9" t="s">
        <v>475</v>
      </c>
      <c r="D41" s="9" t="s">
        <v>476</v>
      </c>
      <c r="E41" s="9" t="s">
        <v>375</v>
      </c>
      <c r="F41" s="9"/>
      <c r="G41" s="9"/>
      <c r="H41" s="9" t="s">
        <v>19</v>
      </c>
      <c r="I41" s="9" t="s">
        <v>477</v>
      </c>
      <c r="J41" s="9" t="s">
        <v>336</v>
      </c>
      <c r="K41" s="9">
        <v>0.9</v>
      </c>
      <c r="L41" s="9"/>
      <c r="M41" s="9"/>
    </row>
    <row r="42" spans="1:13" x14ac:dyDescent="0.25">
      <c r="A42" s="9" t="b">
        <v>0</v>
      </c>
      <c r="B42" s="9" t="s">
        <v>474</v>
      </c>
      <c r="C42" s="9" t="s">
        <v>478</v>
      </c>
      <c r="D42" s="9" t="s">
        <v>479</v>
      </c>
      <c r="E42" s="9"/>
      <c r="F42" s="9"/>
      <c r="G42" s="9" t="s">
        <v>358</v>
      </c>
      <c r="H42" s="9" t="s">
        <v>480</v>
      </c>
      <c r="I42" s="9" t="s">
        <v>481</v>
      </c>
      <c r="J42" s="9" t="s">
        <v>336</v>
      </c>
      <c r="K42" s="9"/>
      <c r="L42" s="9">
        <v>1.5E-3</v>
      </c>
      <c r="M42" s="9"/>
    </row>
    <row r="43" spans="1:13" x14ac:dyDescent="0.25">
      <c r="A43" s="9" t="b">
        <v>0</v>
      </c>
      <c r="B43" s="7" t="s">
        <v>482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x14ac:dyDescent="0.25">
      <c r="A44" s="9" t="b">
        <v>0</v>
      </c>
      <c r="B44" s="9" t="s">
        <v>482</v>
      </c>
      <c r="C44" s="9" t="s">
        <v>483</v>
      </c>
      <c r="D44" s="9" t="s">
        <v>484</v>
      </c>
      <c r="E44" s="9"/>
      <c r="F44" s="9"/>
      <c r="G44" s="9" t="s">
        <v>485</v>
      </c>
      <c r="H44" s="9" t="s">
        <v>19</v>
      </c>
      <c r="I44" s="9" t="s">
        <v>486</v>
      </c>
      <c r="J44" s="9" t="s">
        <v>487</v>
      </c>
      <c r="K44" s="9"/>
      <c r="L44" s="9">
        <v>0.04</v>
      </c>
      <c r="M44" s="9"/>
    </row>
    <row r="45" spans="1:13" x14ac:dyDescent="0.25">
      <c r="A45" s="9" t="b">
        <v>0</v>
      </c>
      <c r="B45" s="7" t="s">
        <v>488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25">
      <c r="A46" s="9" t="b">
        <v>0</v>
      </c>
      <c r="B46" s="9" t="s">
        <v>488</v>
      </c>
      <c r="C46" s="9" t="s">
        <v>489</v>
      </c>
      <c r="D46" s="9" t="s">
        <v>490</v>
      </c>
      <c r="E46" s="9" t="s">
        <v>40</v>
      </c>
      <c r="F46" s="9"/>
      <c r="G46" s="9" t="s">
        <v>491</v>
      </c>
      <c r="H46" s="9" t="s">
        <v>19</v>
      </c>
      <c r="I46" s="9" t="s">
        <v>492</v>
      </c>
      <c r="J46" s="9" t="s">
        <v>493</v>
      </c>
      <c r="K46" s="9">
        <v>0</v>
      </c>
      <c r="L46" s="9">
        <v>0.4</v>
      </c>
      <c r="M46" s="9"/>
    </row>
    <row r="47" spans="1:13" x14ac:dyDescent="0.25">
      <c r="A47" s="9" t="b">
        <v>0</v>
      </c>
      <c r="B47" s="7" t="s">
        <v>494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25">
      <c r="A48" s="9" t="b">
        <v>0</v>
      </c>
      <c r="B48" s="9" t="s">
        <v>494</v>
      </c>
      <c r="C48" s="9" t="s">
        <v>495</v>
      </c>
      <c r="D48" s="9" t="s">
        <v>496</v>
      </c>
      <c r="E48" s="9" t="s">
        <v>497</v>
      </c>
      <c r="F48" s="9"/>
      <c r="G48" s="9" t="s">
        <v>115</v>
      </c>
      <c r="H48" s="9" t="s">
        <v>461</v>
      </c>
      <c r="I48" s="9" t="s">
        <v>498</v>
      </c>
      <c r="J48" s="9" t="s">
        <v>499</v>
      </c>
      <c r="K48" s="9">
        <v>35</v>
      </c>
      <c r="L48" s="9">
        <v>100</v>
      </c>
      <c r="M48" s="9"/>
    </row>
    <row r="49" spans="1:13" x14ac:dyDescent="0.25">
      <c r="A49" s="6" t="b">
        <v>0</v>
      </c>
      <c r="B49" s="7" t="s">
        <v>129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 x14ac:dyDescent="0.25">
      <c r="A50" s="9" t="b">
        <v>0</v>
      </c>
      <c r="B50" s="9" t="s">
        <v>129</v>
      </c>
      <c r="C50" s="9" t="s">
        <v>130</v>
      </c>
      <c r="D50" s="9"/>
      <c r="E50" s="9" t="s">
        <v>131</v>
      </c>
      <c r="F50" s="9"/>
      <c r="G50" s="9"/>
      <c r="H50" s="9" t="s">
        <v>132</v>
      </c>
      <c r="I50" s="9"/>
      <c r="J50" s="9" t="s">
        <v>133</v>
      </c>
      <c r="K50" s="9"/>
      <c r="L50" s="9"/>
      <c r="M50" s="9"/>
    </row>
    <row r="51" spans="1:13" x14ac:dyDescent="0.25">
      <c r="A51" s="9" t="b">
        <v>0</v>
      </c>
      <c r="B51" s="9" t="s">
        <v>129</v>
      </c>
      <c r="C51" s="9" t="s">
        <v>134</v>
      </c>
      <c r="D51" s="9"/>
      <c r="E51" s="9" t="s">
        <v>145</v>
      </c>
      <c r="F51" s="9"/>
      <c r="G51" s="9"/>
      <c r="H51" s="9" t="s">
        <v>136</v>
      </c>
      <c r="I51" s="9"/>
      <c r="J51" s="9" t="s">
        <v>500</v>
      </c>
      <c r="K51" s="9"/>
      <c r="L51" s="9"/>
      <c r="M51" s="9"/>
    </row>
    <row r="52" spans="1:13" x14ac:dyDescent="0.25">
      <c r="A52" s="9" t="b">
        <v>0</v>
      </c>
      <c r="B52" s="11" t="s">
        <v>13</v>
      </c>
      <c r="C52" s="11" t="s">
        <v>501</v>
      </c>
      <c r="D52" s="11" t="s">
        <v>502</v>
      </c>
      <c r="E52" s="11" t="s">
        <v>359</v>
      </c>
      <c r="F52" s="11"/>
      <c r="G52" s="11" t="s">
        <v>32</v>
      </c>
      <c r="H52" s="11"/>
      <c r="I52" s="11"/>
      <c r="J52" s="11"/>
      <c r="K52" s="12"/>
      <c r="L52" s="12"/>
      <c r="M52" s="11"/>
    </row>
    <row r="53" spans="1:13" x14ac:dyDescent="0.25">
      <c r="A53" s="9" t="b">
        <v>0</v>
      </c>
      <c r="B53" s="11" t="s">
        <v>13</v>
      </c>
      <c r="C53" s="11" t="s">
        <v>503</v>
      </c>
      <c r="D53" s="11" t="s">
        <v>504</v>
      </c>
      <c r="E53" s="11" t="s">
        <v>40</v>
      </c>
      <c r="F53" s="11"/>
      <c r="G53" s="11" t="s">
        <v>32</v>
      </c>
      <c r="H53" s="11" t="s">
        <v>505</v>
      </c>
      <c r="I53" s="11"/>
      <c r="J53" s="11"/>
      <c r="K53" s="12"/>
      <c r="L53" s="12"/>
      <c r="M53" s="11"/>
    </row>
    <row r="54" spans="1:13" x14ac:dyDescent="0.25">
      <c r="A54" s="9" t="b">
        <v>0</v>
      </c>
      <c r="B54" s="11" t="s">
        <v>13</v>
      </c>
      <c r="C54" s="11" t="s">
        <v>506</v>
      </c>
      <c r="D54" s="11" t="s">
        <v>507</v>
      </c>
      <c r="E54" s="11" t="s">
        <v>233</v>
      </c>
      <c r="F54" s="11"/>
      <c r="G54" s="11" t="s">
        <v>508</v>
      </c>
      <c r="H54" s="11" t="s">
        <v>43</v>
      </c>
      <c r="I54" s="11"/>
      <c r="J54" s="11"/>
      <c r="K54" s="12"/>
      <c r="L54" s="12"/>
      <c r="M54" s="11"/>
    </row>
    <row r="55" spans="1:13" x14ac:dyDescent="0.25">
      <c r="A55" s="9" t="b">
        <v>0</v>
      </c>
      <c r="B55" s="11" t="s">
        <v>13</v>
      </c>
      <c r="C55" s="11" t="s">
        <v>509</v>
      </c>
      <c r="D55" s="11" t="s">
        <v>510</v>
      </c>
      <c r="E55" s="11" t="s">
        <v>511</v>
      </c>
      <c r="F55" s="11"/>
      <c r="G55" s="11" t="s">
        <v>512</v>
      </c>
      <c r="H55" s="11" t="s">
        <v>50</v>
      </c>
      <c r="I55" s="11"/>
      <c r="J55" s="11"/>
      <c r="K55" s="12"/>
      <c r="L55" s="12"/>
      <c r="M55" s="11"/>
    </row>
    <row r="56" spans="1:13" x14ac:dyDescent="0.25">
      <c r="A56" s="9" t="b">
        <v>0</v>
      </c>
      <c r="B56" s="11" t="s">
        <v>13</v>
      </c>
      <c r="C56" s="11" t="s">
        <v>513</v>
      </c>
      <c r="D56" s="11" t="s">
        <v>514</v>
      </c>
      <c r="E56" s="11" t="s">
        <v>515</v>
      </c>
      <c r="F56" s="11"/>
      <c r="G56" s="11" t="s">
        <v>516</v>
      </c>
      <c r="H56" s="11" t="s">
        <v>517</v>
      </c>
      <c r="I56" s="11"/>
      <c r="J56" s="11"/>
      <c r="K56" s="12"/>
      <c r="L56" s="12"/>
      <c r="M56" s="11"/>
    </row>
    <row r="57" spans="1:13" x14ac:dyDescent="0.25">
      <c r="A57" s="9" t="b">
        <v>0</v>
      </c>
      <c r="B57" s="11" t="s">
        <v>13</v>
      </c>
      <c r="C57" s="11" t="s">
        <v>518</v>
      </c>
      <c r="D57" s="11" t="s">
        <v>519</v>
      </c>
      <c r="E57" s="11"/>
      <c r="F57" s="11"/>
      <c r="G57" s="11" t="s">
        <v>23</v>
      </c>
      <c r="H57" s="11" t="s">
        <v>19</v>
      </c>
      <c r="I57" s="11"/>
      <c r="J57" s="11"/>
      <c r="K57" s="12"/>
      <c r="L57" s="12"/>
      <c r="M57" s="11"/>
    </row>
    <row r="58" spans="1:13" x14ac:dyDescent="0.25">
      <c r="A58" s="9" t="b">
        <v>0</v>
      </c>
      <c r="B58" s="11" t="s">
        <v>13</v>
      </c>
      <c r="C58" s="11" t="s">
        <v>520</v>
      </c>
      <c r="D58" s="11" t="s">
        <v>521</v>
      </c>
      <c r="E58" s="11"/>
      <c r="F58" s="11"/>
      <c r="G58" s="11" t="s">
        <v>23</v>
      </c>
      <c r="H58" s="11" t="s">
        <v>19</v>
      </c>
      <c r="I58" s="11"/>
      <c r="J58" s="11"/>
      <c r="K58" s="12"/>
      <c r="L58" s="12"/>
      <c r="M58" s="11"/>
    </row>
    <row r="59" spans="1:13" x14ac:dyDescent="0.25">
      <c r="A59" s="11" t="s">
        <v>44</v>
      </c>
      <c r="B59" s="11" t="s">
        <v>360</v>
      </c>
      <c r="C59" s="11" t="s">
        <v>522</v>
      </c>
      <c r="D59" s="11" t="s">
        <v>346</v>
      </c>
      <c r="E59" s="11" t="s">
        <v>347</v>
      </c>
      <c r="F59" s="11"/>
      <c r="G59" s="11" t="s">
        <v>348</v>
      </c>
      <c r="H59" s="11" t="s">
        <v>19</v>
      </c>
      <c r="I59" s="11"/>
      <c r="J59" s="11"/>
      <c r="K59" s="12"/>
      <c r="L59" s="12"/>
      <c r="M59" s="16" t="s">
        <v>523</v>
      </c>
    </row>
    <row r="60" spans="1:13" x14ac:dyDescent="0.25">
      <c r="A60" s="11" t="s">
        <v>44</v>
      </c>
      <c r="B60" s="11" t="s">
        <v>360</v>
      </c>
      <c r="C60" s="11" t="s">
        <v>524</v>
      </c>
      <c r="D60" s="11" t="s">
        <v>353</v>
      </c>
      <c r="E60" s="11"/>
      <c r="F60" s="11"/>
      <c r="G60" s="11" t="s">
        <v>525</v>
      </c>
      <c r="H60" s="11" t="s">
        <v>355</v>
      </c>
      <c r="I60" s="11"/>
      <c r="J60" s="11"/>
      <c r="K60" s="12"/>
      <c r="L60" s="12"/>
      <c r="M60" s="16" t="s">
        <v>523</v>
      </c>
    </row>
    <row r="61" spans="1:13" x14ac:dyDescent="0.25">
      <c r="A61" s="11" t="s">
        <v>44</v>
      </c>
      <c r="B61" s="11" t="s">
        <v>360</v>
      </c>
      <c r="C61" s="11" t="s">
        <v>526</v>
      </c>
      <c r="D61" s="11" t="s">
        <v>504</v>
      </c>
      <c r="E61" s="11"/>
      <c r="F61" s="11"/>
      <c r="G61" s="11" t="s">
        <v>359</v>
      </c>
      <c r="H61" s="11" t="s">
        <v>505</v>
      </c>
      <c r="I61" s="11"/>
      <c r="J61" s="11"/>
      <c r="K61" s="12"/>
      <c r="L61" s="12"/>
      <c r="M61" s="16" t="s">
        <v>523</v>
      </c>
    </row>
    <row r="62" spans="1:13" x14ac:dyDescent="0.25">
      <c r="A62" s="13" t="s">
        <v>44</v>
      </c>
      <c r="B62" s="14" t="s">
        <v>527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x14ac:dyDescent="0.25">
      <c r="A63" s="11" t="s">
        <v>44</v>
      </c>
      <c r="B63" s="11" t="s">
        <v>527</v>
      </c>
      <c r="C63" s="11" t="s">
        <v>528</v>
      </c>
      <c r="D63" s="11" t="s">
        <v>529</v>
      </c>
      <c r="E63" s="11"/>
      <c r="F63" s="11" t="s">
        <v>115</v>
      </c>
      <c r="G63" s="11"/>
      <c r="H63" s="11" t="s">
        <v>461</v>
      </c>
      <c r="I63" s="11"/>
      <c r="J63" s="11"/>
      <c r="K63" s="12"/>
      <c r="L63" s="12"/>
      <c r="M63" s="16" t="s">
        <v>530</v>
      </c>
    </row>
    <row r="64" spans="1:13" x14ac:dyDescent="0.25">
      <c r="A64" s="11" t="s">
        <v>44</v>
      </c>
      <c r="B64" s="11" t="s">
        <v>527</v>
      </c>
      <c r="C64" s="11" t="s">
        <v>531</v>
      </c>
      <c r="D64" s="11" t="s">
        <v>532</v>
      </c>
      <c r="E64" s="11"/>
      <c r="F64" s="11" t="s">
        <v>40</v>
      </c>
      <c r="G64" s="11"/>
      <c r="H64" s="11" t="s">
        <v>461</v>
      </c>
      <c r="I64" s="11"/>
      <c r="J64" s="11"/>
      <c r="K64" s="12"/>
      <c r="L64" s="12"/>
      <c r="M64" s="16" t="s">
        <v>530</v>
      </c>
    </row>
    <row r="65" spans="1:13" x14ac:dyDescent="0.25">
      <c r="A65" s="13" t="s">
        <v>44</v>
      </c>
      <c r="B65" s="14" t="s">
        <v>533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x14ac:dyDescent="0.25">
      <c r="A66" s="11" t="s">
        <v>44</v>
      </c>
      <c r="B66" s="11" t="s">
        <v>533</v>
      </c>
      <c r="C66" s="11" t="s">
        <v>534</v>
      </c>
      <c r="D66" s="11" t="s">
        <v>535</v>
      </c>
      <c r="E66" s="11"/>
      <c r="F66" s="11" t="s">
        <v>536</v>
      </c>
      <c r="G66" s="11"/>
      <c r="H66" s="11" t="s">
        <v>164</v>
      </c>
      <c r="I66" s="11"/>
      <c r="J66" s="11"/>
      <c r="K66" s="12"/>
      <c r="L66" s="12"/>
      <c r="M66" s="16" t="s">
        <v>530</v>
      </c>
    </row>
    <row r="67" spans="1:13" x14ac:dyDescent="0.25">
      <c r="A67" s="11" t="s">
        <v>44</v>
      </c>
      <c r="B67" s="11" t="s">
        <v>533</v>
      </c>
      <c r="C67" s="11" t="s">
        <v>537</v>
      </c>
      <c r="D67" s="11" t="s">
        <v>538</v>
      </c>
      <c r="E67" s="11"/>
      <c r="F67" s="11" t="s">
        <v>33</v>
      </c>
      <c r="G67" s="11"/>
      <c r="H67" s="11" t="s">
        <v>35</v>
      </c>
      <c r="I67" s="11"/>
      <c r="J67" s="11"/>
      <c r="K67" s="12"/>
      <c r="L67" s="12"/>
      <c r="M67" s="16" t="s">
        <v>530</v>
      </c>
    </row>
    <row r="68" spans="1:13" x14ac:dyDescent="0.25">
      <c r="A68" s="11" t="s">
        <v>44</v>
      </c>
      <c r="B68" s="11" t="s">
        <v>533</v>
      </c>
      <c r="C68" s="11" t="s">
        <v>539</v>
      </c>
      <c r="D68" s="11" t="s">
        <v>540</v>
      </c>
      <c r="E68" s="11"/>
      <c r="F68" s="11" t="s">
        <v>32</v>
      </c>
      <c r="G68" s="11"/>
      <c r="H68" s="11" t="s">
        <v>541</v>
      </c>
      <c r="I68" s="11"/>
      <c r="J68" s="11"/>
      <c r="K68" s="12"/>
      <c r="L68" s="12"/>
      <c r="M68" s="16" t="s">
        <v>530</v>
      </c>
    </row>
    <row r="69" spans="1:13" x14ac:dyDescent="0.25">
      <c r="A69" s="13" t="s">
        <v>44</v>
      </c>
      <c r="B69" s="17" t="s">
        <v>542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x14ac:dyDescent="0.25">
      <c r="A70" s="11" t="s">
        <v>44</v>
      </c>
      <c r="B70" s="10" t="s">
        <v>425</v>
      </c>
      <c r="C70" s="16" t="s">
        <v>543</v>
      </c>
      <c r="D70" s="16" t="s">
        <v>427</v>
      </c>
      <c r="E70" s="11"/>
      <c r="F70" s="11">
        <v>4.79</v>
      </c>
      <c r="G70" s="11"/>
      <c r="H70" s="16" t="s">
        <v>19</v>
      </c>
      <c r="I70" s="16" t="s">
        <v>431</v>
      </c>
      <c r="J70" s="16" t="s">
        <v>432</v>
      </c>
      <c r="K70" s="12"/>
      <c r="L70" s="12"/>
      <c r="M70" s="16"/>
    </row>
    <row r="71" spans="1:13" x14ac:dyDescent="0.25">
      <c r="A71" s="11" t="s">
        <v>44</v>
      </c>
      <c r="B71" s="16" t="s">
        <v>425</v>
      </c>
      <c r="C71" s="16" t="s">
        <v>544</v>
      </c>
      <c r="D71" s="16" t="s">
        <v>434</v>
      </c>
      <c r="E71" s="11"/>
      <c r="F71" s="11">
        <v>4.5199999999999996</v>
      </c>
      <c r="G71" s="11"/>
      <c r="H71" s="16" t="s">
        <v>19</v>
      </c>
      <c r="I71" s="16" t="s">
        <v>438</v>
      </c>
      <c r="J71" s="16" t="s">
        <v>432</v>
      </c>
      <c r="K71" s="12"/>
      <c r="L71" s="12"/>
      <c r="M71" s="16"/>
    </row>
    <row r="72" spans="1:13" x14ac:dyDescent="0.25">
      <c r="A72" s="13" t="s">
        <v>44</v>
      </c>
      <c r="B72" s="14" t="s">
        <v>370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11" t="s">
        <v>44</v>
      </c>
      <c r="B73" s="11" t="s">
        <v>370</v>
      </c>
      <c r="C73" s="11" t="s">
        <v>545</v>
      </c>
      <c r="D73" s="11" t="s">
        <v>372</v>
      </c>
      <c r="E73" s="11"/>
      <c r="F73" s="11" t="s">
        <v>546</v>
      </c>
      <c r="G73" s="11"/>
      <c r="H73" s="11" t="s">
        <v>265</v>
      </c>
      <c r="I73" s="11" t="s">
        <v>376</v>
      </c>
      <c r="J73" s="11" t="s">
        <v>300</v>
      </c>
      <c r="K73" s="11">
        <v>0.77</v>
      </c>
      <c r="L73" s="11">
        <v>0.9</v>
      </c>
      <c r="M73" s="11"/>
    </row>
    <row r="74" spans="1:13" x14ac:dyDescent="0.25">
      <c r="A74" s="11" t="s">
        <v>44</v>
      </c>
      <c r="B74" s="11" t="s">
        <v>370</v>
      </c>
      <c r="C74" s="11" t="s">
        <v>547</v>
      </c>
      <c r="D74" s="11" t="s">
        <v>378</v>
      </c>
      <c r="E74" s="11"/>
      <c r="F74" s="11" t="s">
        <v>548</v>
      </c>
      <c r="G74" s="11"/>
      <c r="H74" s="11" t="s">
        <v>265</v>
      </c>
      <c r="I74" s="11" t="s">
        <v>382</v>
      </c>
      <c r="J74" s="11" t="s">
        <v>300</v>
      </c>
      <c r="K74" s="11">
        <v>0.67</v>
      </c>
      <c r="L74" s="11">
        <v>0.78</v>
      </c>
      <c r="M74" s="11"/>
    </row>
    <row r="75" spans="1:13" x14ac:dyDescent="0.25">
      <c r="A75" s="11" t="s">
        <v>44</v>
      </c>
      <c r="B75" s="11" t="s">
        <v>370</v>
      </c>
      <c r="C75" s="11" t="s">
        <v>549</v>
      </c>
      <c r="D75" s="11" t="s">
        <v>550</v>
      </c>
      <c r="E75" s="11"/>
      <c r="F75" s="11" t="s">
        <v>32</v>
      </c>
      <c r="G75" s="11"/>
      <c r="H75" s="11" t="s">
        <v>551</v>
      </c>
      <c r="I75" s="11"/>
      <c r="J75" s="11"/>
      <c r="K75" s="12"/>
      <c r="L75" s="12"/>
      <c r="M75" s="16" t="s">
        <v>141</v>
      </c>
    </row>
    <row r="76" spans="1:13" x14ac:dyDescent="0.25">
      <c r="A76" s="13" t="s">
        <v>44</v>
      </c>
      <c r="B76" s="14" t="s">
        <v>552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</row>
    <row r="77" spans="1:13" x14ac:dyDescent="0.25">
      <c r="A77" s="11" t="s">
        <v>44</v>
      </c>
      <c r="B77" s="11" t="s">
        <v>552</v>
      </c>
      <c r="C77" s="11" t="s">
        <v>553</v>
      </c>
      <c r="D77" s="11" t="s">
        <v>554</v>
      </c>
      <c r="E77" s="11"/>
      <c r="F77" s="11" t="s">
        <v>555</v>
      </c>
      <c r="G77" s="11"/>
      <c r="H77" s="11" t="s">
        <v>355</v>
      </c>
      <c r="I77" s="11"/>
      <c r="J77" s="11"/>
      <c r="K77" s="12"/>
      <c r="L77" s="12"/>
      <c r="M77" s="16" t="s">
        <v>556</v>
      </c>
    </row>
    <row r="78" spans="1:13" x14ac:dyDescent="0.25">
      <c r="A78" s="11" t="s">
        <v>44</v>
      </c>
      <c r="B78" s="11" t="s">
        <v>552</v>
      </c>
      <c r="C78" s="11" t="s">
        <v>557</v>
      </c>
      <c r="D78" s="11" t="s">
        <v>558</v>
      </c>
      <c r="E78" s="11"/>
      <c r="F78" s="11" t="s">
        <v>559</v>
      </c>
      <c r="G78" s="11"/>
      <c r="H78" s="11" t="s">
        <v>355</v>
      </c>
      <c r="I78" s="11"/>
      <c r="J78" s="11"/>
      <c r="K78" s="12"/>
      <c r="L78" s="12"/>
      <c r="M78" s="16" t="s">
        <v>556</v>
      </c>
    </row>
    <row r="79" spans="1:13" x14ac:dyDescent="0.25">
      <c r="A79" s="11" t="s">
        <v>44</v>
      </c>
      <c r="B79" s="11" t="s">
        <v>552</v>
      </c>
      <c r="C79" s="11" t="s">
        <v>560</v>
      </c>
      <c r="D79" s="11" t="s">
        <v>561</v>
      </c>
      <c r="E79" s="11"/>
      <c r="F79" s="11" t="s">
        <v>562</v>
      </c>
      <c r="G79" s="11"/>
      <c r="H79" s="11" t="s">
        <v>43</v>
      </c>
      <c r="I79" s="11"/>
      <c r="J79" s="11"/>
      <c r="K79" s="12"/>
      <c r="L79" s="12"/>
      <c r="M79" s="16" t="s">
        <v>563</v>
      </c>
    </row>
    <row r="80" spans="1:13" x14ac:dyDescent="0.25">
      <c r="A80" s="11" t="s">
        <v>44</v>
      </c>
      <c r="B80" s="11" t="s">
        <v>552</v>
      </c>
      <c r="C80" s="11" t="s">
        <v>564</v>
      </c>
      <c r="D80" s="11" t="s">
        <v>565</v>
      </c>
      <c r="E80" s="11"/>
      <c r="F80" s="11" t="s">
        <v>566</v>
      </c>
      <c r="G80" s="11"/>
      <c r="H80" s="11" t="s">
        <v>43</v>
      </c>
      <c r="I80" s="11"/>
      <c r="J80" s="11"/>
      <c r="K80" s="12"/>
      <c r="L80" s="12"/>
      <c r="M80" s="16" t="s">
        <v>563</v>
      </c>
    </row>
    <row r="81" spans="1:13" x14ac:dyDescent="0.25">
      <c r="A81" s="13" t="s">
        <v>44</v>
      </c>
      <c r="B81" s="14" t="s">
        <v>567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</row>
    <row r="82" spans="1:13" x14ac:dyDescent="0.25">
      <c r="A82" s="11" t="s">
        <v>44</v>
      </c>
      <c r="B82" s="11" t="s">
        <v>567</v>
      </c>
      <c r="C82" s="11" t="s">
        <v>568</v>
      </c>
      <c r="D82" s="11" t="s">
        <v>569</v>
      </c>
      <c r="E82" s="11"/>
      <c r="F82" s="11"/>
      <c r="G82" s="11" t="s">
        <v>570</v>
      </c>
      <c r="H82" s="11" t="s">
        <v>571</v>
      </c>
      <c r="I82" s="16" t="s">
        <v>481</v>
      </c>
      <c r="J82" s="16" t="s">
        <v>336</v>
      </c>
      <c r="K82" s="12"/>
      <c r="L82" s="12"/>
      <c r="M82" s="11"/>
    </row>
    <row r="83" spans="1:13" x14ac:dyDescent="0.25">
      <c r="A83" s="13" t="s">
        <v>44</v>
      </c>
      <c r="B83" s="14" t="s">
        <v>572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1:13" x14ac:dyDescent="0.25">
      <c r="A84" s="11" t="s">
        <v>44</v>
      </c>
      <c r="B84" s="11" t="s">
        <v>572</v>
      </c>
      <c r="C84" s="11" t="s">
        <v>573</v>
      </c>
      <c r="D84" s="11" t="s">
        <v>464</v>
      </c>
      <c r="E84" s="11"/>
      <c r="F84" s="11" t="s">
        <v>574</v>
      </c>
      <c r="G84" s="11"/>
      <c r="H84" s="11" t="s">
        <v>461</v>
      </c>
      <c r="I84" s="11" t="s">
        <v>467</v>
      </c>
      <c r="J84" s="11" t="s">
        <v>128</v>
      </c>
      <c r="K84" s="11">
        <v>2.5</v>
      </c>
      <c r="L84" s="11">
        <v>10.5</v>
      </c>
      <c r="M84" s="11"/>
    </row>
    <row r="85" spans="1:13" x14ac:dyDescent="0.25">
      <c r="A85" s="11" t="s">
        <v>44</v>
      </c>
      <c r="B85" s="11" t="s">
        <v>572</v>
      </c>
      <c r="C85" s="11" t="s">
        <v>575</v>
      </c>
      <c r="D85" s="11" t="s">
        <v>457</v>
      </c>
      <c r="E85" s="11"/>
      <c r="F85" s="11" t="s">
        <v>459</v>
      </c>
      <c r="G85" s="11"/>
      <c r="H85" s="11" t="s">
        <v>461</v>
      </c>
      <c r="I85" s="11" t="s">
        <v>462</v>
      </c>
      <c r="J85" s="11" t="s">
        <v>128</v>
      </c>
      <c r="K85" s="11">
        <v>-10.5</v>
      </c>
      <c r="L85" s="11">
        <v>-2.5</v>
      </c>
      <c r="M85" s="11"/>
    </row>
    <row r="86" spans="1:13" x14ac:dyDescent="0.25">
      <c r="A86" s="13" t="s">
        <v>44</v>
      </c>
      <c r="B86" s="14" t="s">
        <v>576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</row>
    <row r="87" spans="1:13" x14ac:dyDescent="0.25">
      <c r="A87" s="11" t="s">
        <v>44</v>
      </c>
      <c r="B87" s="11" t="s">
        <v>576</v>
      </c>
      <c r="C87" s="11" t="s">
        <v>577</v>
      </c>
      <c r="D87" s="11" t="s">
        <v>576</v>
      </c>
      <c r="E87" s="11"/>
      <c r="F87" s="11" t="s">
        <v>578</v>
      </c>
      <c r="G87" s="11"/>
      <c r="H87" s="11" t="s">
        <v>579</v>
      </c>
      <c r="I87" s="11"/>
      <c r="J87" s="11"/>
      <c r="K87" s="12"/>
      <c r="L87" s="12"/>
      <c r="M87" s="16" t="s">
        <v>563</v>
      </c>
    </row>
    <row r="88" spans="1:13" x14ac:dyDescent="0.25">
      <c r="A88" s="6" t="b">
        <v>0</v>
      </c>
      <c r="B88" s="14" t="s">
        <v>580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x14ac:dyDescent="0.25">
      <c r="A89" s="9" t="b">
        <v>0</v>
      </c>
      <c r="B89" s="11" t="s">
        <v>580</v>
      </c>
      <c r="C89" s="11" t="s">
        <v>581</v>
      </c>
      <c r="D89" s="11" t="s">
        <v>582</v>
      </c>
      <c r="E89" s="11"/>
      <c r="F89" s="11"/>
      <c r="G89" s="11" t="s">
        <v>583</v>
      </c>
      <c r="H89" s="11" t="s">
        <v>19</v>
      </c>
      <c r="I89" s="11"/>
      <c r="J89" s="11" t="s">
        <v>584</v>
      </c>
      <c r="K89" s="12"/>
      <c r="L89" s="12"/>
      <c r="M89" s="11"/>
    </row>
  </sheetData>
  <autoFilter ref="A1:M51" xr:uid="{00000000-0009-0000-0000-000003000000}"/>
  <dataValidations count="1">
    <dataValidation type="list" errorTitle="Invalid value" error="Please enter TRUE or FALSE" sqref="A2:A58 A88:A89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pane ySplit="1" topLeftCell="A2" activePane="bottomLeft" state="frozen"/>
      <selection pane="bottomLeft" activeCell="A16" sqref="A16"/>
    </sheetView>
  </sheetViews>
  <sheetFormatPr defaultRowHeight="15" x14ac:dyDescent="0.25"/>
  <cols>
    <col min="1" max="1" width="12" customWidth="1"/>
    <col min="2" max="2" width="20" customWidth="1"/>
    <col min="3" max="3" width="40" customWidth="1"/>
    <col min="4" max="4" width="22" customWidth="1"/>
    <col min="5" max="7" width="14" customWidth="1"/>
    <col min="8" max="8" width="10" customWidth="1"/>
    <col min="9" max="9" width="12" customWidth="1"/>
    <col min="10" max="10" width="50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9</v>
      </c>
      <c r="J1" s="3" t="s">
        <v>12</v>
      </c>
    </row>
    <row r="2" spans="1:10" x14ac:dyDescent="0.25">
      <c r="A2" s="6" t="b">
        <v>0</v>
      </c>
      <c r="B2" s="7" t="s">
        <v>13</v>
      </c>
      <c r="C2" s="8"/>
      <c r="D2" s="8"/>
      <c r="E2" s="8"/>
      <c r="F2" s="8"/>
      <c r="G2" s="8"/>
      <c r="H2" s="8"/>
      <c r="I2" s="8"/>
      <c r="J2" s="8"/>
    </row>
    <row r="3" spans="1:10" x14ac:dyDescent="0.25">
      <c r="A3" s="9" t="b">
        <v>0</v>
      </c>
      <c r="B3" s="9" t="s">
        <v>13</v>
      </c>
      <c r="C3" s="9" t="s">
        <v>585</v>
      </c>
      <c r="D3" s="9" t="s">
        <v>586</v>
      </c>
      <c r="E3" s="9" t="s">
        <v>555</v>
      </c>
      <c r="F3" s="9" t="s">
        <v>587</v>
      </c>
      <c r="G3" s="9" t="s">
        <v>348</v>
      </c>
      <c r="H3" s="9" t="s">
        <v>19</v>
      </c>
      <c r="I3" s="9" t="s">
        <v>588</v>
      </c>
      <c r="J3" s="9"/>
    </row>
    <row r="4" spans="1:10" x14ac:dyDescent="0.25">
      <c r="A4" s="9" t="b">
        <v>0</v>
      </c>
      <c r="B4" s="9" t="s">
        <v>13</v>
      </c>
      <c r="C4" s="9" t="s">
        <v>589</v>
      </c>
      <c r="D4" s="9" t="s">
        <v>590</v>
      </c>
      <c r="E4" s="9" t="s">
        <v>40</v>
      </c>
      <c r="F4" s="9"/>
      <c r="G4" s="9" t="s">
        <v>114</v>
      </c>
      <c r="H4" s="9" t="s">
        <v>43</v>
      </c>
      <c r="I4" s="9"/>
      <c r="J4" s="9"/>
    </row>
    <row r="5" spans="1:10" x14ac:dyDescent="0.25">
      <c r="A5" s="9" t="b">
        <v>0</v>
      </c>
      <c r="B5" s="9" t="s">
        <v>13</v>
      </c>
      <c r="C5" s="9" t="s">
        <v>591</v>
      </c>
      <c r="D5" s="9" t="s">
        <v>592</v>
      </c>
      <c r="E5" s="9"/>
      <c r="F5" s="9" t="s">
        <v>323</v>
      </c>
      <c r="G5" s="9"/>
      <c r="H5" s="9" t="s">
        <v>404</v>
      </c>
      <c r="I5" s="9"/>
      <c r="J5" s="9"/>
    </row>
    <row r="6" spans="1:10" x14ac:dyDescent="0.25">
      <c r="A6" s="9" t="b">
        <v>0</v>
      </c>
      <c r="B6" s="9" t="s">
        <v>13</v>
      </c>
      <c r="C6" s="9" t="s">
        <v>593</v>
      </c>
      <c r="D6" s="9"/>
      <c r="E6" s="9"/>
      <c r="F6" s="9"/>
      <c r="G6" s="9" t="s">
        <v>594</v>
      </c>
      <c r="H6" s="9" t="s">
        <v>164</v>
      </c>
      <c r="I6" s="9"/>
      <c r="J6" s="9"/>
    </row>
    <row r="7" spans="1:10" x14ac:dyDescent="0.25">
      <c r="A7" s="9" t="b">
        <v>0</v>
      </c>
      <c r="B7" s="9" t="s">
        <v>13</v>
      </c>
      <c r="C7" s="9" t="s">
        <v>595</v>
      </c>
      <c r="D7" s="9"/>
      <c r="E7" s="9"/>
      <c r="F7" s="9"/>
      <c r="G7" s="9" t="s">
        <v>596</v>
      </c>
      <c r="H7" s="9" t="s">
        <v>164</v>
      </c>
      <c r="I7" s="9"/>
      <c r="J7" s="9"/>
    </row>
    <row r="8" spans="1:10" x14ac:dyDescent="0.25">
      <c r="A8" s="9" t="b">
        <v>0</v>
      </c>
      <c r="B8" s="9" t="s">
        <v>13</v>
      </c>
      <c r="C8" s="9" t="s">
        <v>597</v>
      </c>
      <c r="D8" s="9" t="s">
        <v>598</v>
      </c>
      <c r="E8" s="9" t="s">
        <v>40</v>
      </c>
      <c r="F8" s="9"/>
      <c r="G8" s="9" t="s">
        <v>347</v>
      </c>
      <c r="H8" s="9" t="s">
        <v>480</v>
      </c>
      <c r="I8" s="9"/>
      <c r="J8" s="9"/>
    </row>
    <row r="9" spans="1:10" x14ac:dyDescent="0.25">
      <c r="A9" s="6" t="s">
        <v>44</v>
      </c>
      <c r="B9" s="7" t="s">
        <v>599</v>
      </c>
      <c r="C9" s="8"/>
      <c r="D9" s="8"/>
      <c r="E9" s="8"/>
      <c r="F9" s="8"/>
      <c r="G9" s="8"/>
      <c r="H9" s="8"/>
      <c r="I9" s="8"/>
      <c r="J9" s="8"/>
    </row>
    <row r="10" spans="1:10" x14ac:dyDescent="0.25">
      <c r="A10" s="9" t="s">
        <v>44</v>
      </c>
      <c r="B10" s="9" t="s">
        <v>599</v>
      </c>
      <c r="C10" s="9" t="s">
        <v>600</v>
      </c>
      <c r="D10" s="9" t="s">
        <v>601</v>
      </c>
      <c r="E10" s="9" t="s">
        <v>602</v>
      </c>
      <c r="F10" s="9"/>
      <c r="G10" s="9" t="s">
        <v>603</v>
      </c>
      <c r="H10" s="9" t="s">
        <v>50</v>
      </c>
      <c r="I10" s="9" t="s">
        <v>588</v>
      </c>
      <c r="J10" s="9"/>
    </row>
    <row r="11" spans="1:10" x14ac:dyDescent="0.25">
      <c r="A11" s="9" t="s">
        <v>44</v>
      </c>
      <c r="B11" s="9" t="s">
        <v>599</v>
      </c>
      <c r="C11" s="9" t="s">
        <v>604</v>
      </c>
      <c r="D11" s="9" t="s">
        <v>605</v>
      </c>
      <c r="E11" s="9"/>
      <c r="F11" s="9" t="s">
        <v>323</v>
      </c>
      <c r="G11" s="9"/>
      <c r="H11" s="9" t="s">
        <v>404</v>
      </c>
      <c r="I11" s="9"/>
      <c r="J11" s="9"/>
    </row>
    <row r="12" spans="1:10" x14ac:dyDescent="0.25">
      <c r="A12" s="6" t="b">
        <v>0</v>
      </c>
      <c r="B12" s="7" t="s">
        <v>606</v>
      </c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9" t="b">
        <v>0</v>
      </c>
      <c r="B13" s="9" t="s">
        <v>606</v>
      </c>
      <c r="C13" s="9" t="s">
        <v>607</v>
      </c>
      <c r="D13" s="9" t="s">
        <v>608</v>
      </c>
      <c r="E13" s="9"/>
      <c r="F13" s="9"/>
      <c r="G13" s="9"/>
      <c r="H13" s="9"/>
      <c r="I13" s="9"/>
      <c r="J13" s="9"/>
    </row>
    <row r="14" spans="1:10" x14ac:dyDescent="0.25">
      <c r="A14" s="9" t="b">
        <v>0</v>
      </c>
      <c r="B14" s="9" t="s">
        <v>606</v>
      </c>
      <c r="C14" s="9" t="s">
        <v>609</v>
      </c>
      <c r="D14" s="9" t="s">
        <v>610</v>
      </c>
      <c r="E14" s="9"/>
      <c r="F14" s="9"/>
      <c r="G14" s="9"/>
      <c r="H14" s="9"/>
      <c r="I14" s="9"/>
      <c r="J14" s="9"/>
    </row>
    <row r="15" spans="1:10" x14ac:dyDescent="0.25">
      <c r="A15" s="9" t="b">
        <v>0</v>
      </c>
      <c r="B15" s="9" t="s">
        <v>606</v>
      </c>
      <c r="C15" s="9" t="s">
        <v>611</v>
      </c>
      <c r="D15" s="9" t="s">
        <v>612</v>
      </c>
      <c r="E15" s="9"/>
      <c r="F15" s="9"/>
      <c r="G15" s="9"/>
      <c r="H15" s="9"/>
      <c r="I15" s="9"/>
      <c r="J15" s="9"/>
    </row>
    <row r="16" spans="1:10" x14ac:dyDescent="0.25">
      <c r="A16" s="6" t="b">
        <v>0</v>
      </c>
      <c r="B16" s="7" t="s">
        <v>129</v>
      </c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9" t="b">
        <v>0</v>
      </c>
      <c r="B17" s="9" t="s">
        <v>129</v>
      </c>
      <c r="C17" s="9" t="s">
        <v>130</v>
      </c>
      <c r="D17" s="9"/>
      <c r="E17" s="9" t="s">
        <v>131</v>
      </c>
      <c r="F17" s="9"/>
      <c r="G17" s="9"/>
      <c r="H17" s="9" t="s">
        <v>132</v>
      </c>
      <c r="I17" s="9" t="s">
        <v>133</v>
      </c>
      <c r="J17" s="9"/>
    </row>
    <row r="18" spans="1:10" x14ac:dyDescent="0.25">
      <c r="A18" s="9" t="b">
        <v>0</v>
      </c>
      <c r="B18" s="9" t="s">
        <v>129</v>
      </c>
      <c r="C18" s="9" t="s">
        <v>134</v>
      </c>
      <c r="D18" s="9"/>
      <c r="E18" s="9" t="s">
        <v>137</v>
      </c>
      <c r="F18" s="9"/>
      <c r="G18" s="9"/>
      <c r="H18" s="9"/>
      <c r="I18" s="9" t="s">
        <v>137</v>
      </c>
      <c r="J18" s="9"/>
    </row>
  </sheetData>
  <autoFilter ref="A1:J18" xr:uid="{00000000-0009-0000-0000-000004000000}"/>
  <dataValidations count="1">
    <dataValidation type="list" sqref="A2:A18" xr:uid="{00000000-0002-0000-04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CXP00002</vt:lpstr>
      <vt:lpstr>IMG002X1</vt:lpstr>
      <vt:lpstr>PSU00001</vt:lpstr>
      <vt:lpstr>VIS100xx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Vanden Berk</cp:lastModifiedBy>
  <dcterms:created xsi:type="dcterms:W3CDTF">2026-04-14T14:06:17Z</dcterms:created>
  <dcterms:modified xsi:type="dcterms:W3CDTF">2026-04-24T14:33:07Z</dcterms:modified>
</cp:coreProperties>
</file>